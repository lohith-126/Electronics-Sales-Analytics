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2A7BBE8749FB6D05/Documents/"/>
    </mc:Choice>
  </mc:AlternateContent>
  <xr:revisionPtr revIDLastSave="0" documentId="8_{95A2464E-E768-4957-88D8-2FE69C57CEC4}" xr6:coauthVersionLast="47" xr6:coauthVersionMax="47" xr10:uidLastSave="{00000000-0000-0000-0000-000000000000}"/>
  <bookViews>
    <workbookView xWindow="-108" yWindow="-108" windowWidth="23256" windowHeight="13896" activeTab="7" xr2:uid="{00000000-000D-0000-FFFF-FFFF00000000}"/>
  </bookViews>
  <sheets>
    <sheet name="pt_city" sheetId="10" r:id="rId1"/>
    <sheet name="Sheet1" sheetId="14" r:id="rId2"/>
    <sheet name="pt_product" sheetId="11" r:id="rId3"/>
    <sheet name="pt_pay_method" sheetId="12" r:id="rId4"/>
    <sheet name="pt_avg" sheetId="13" r:id="rId5"/>
    <sheet name="clean_data" sheetId="3" r:id="rId6"/>
    <sheet name="analysis" sheetId="4" r:id="rId7"/>
    <sheet name="dashboard" sheetId="6" r:id="rId8"/>
    <sheet name="Project_Info" sheetId="2" r:id="rId9"/>
    <sheet name="Raw_Data" sheetId="1" r:id="rId10"/>
  </sheets>
  <definedNames>
    <definedName name="Slicer_City">#N/A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6" l="1"/>
  <c r="C3" i="6"/>
  <c r="A3" i="6"/>
  <c r="B6" i="4"/>
  <c r="B5" i="4"/>
  <c r="B4" i="4"/>
  <c r="B3" i="4"/>
  <c r="B2" i="4"/>
</calcChain>
</file>

<file path=xl/sharedStrings.xml><?xml version="1.0" encoding="utf-8"?>
<sst xmlns="http://schemas.openxmlformats.org/spreadsheetml/2006/main" count="5081" uniqueCount="79">
  <si>
    <t>Order_ID</t>
  </si>
  <si>
    <t>Date</t>
  </si>
  <si>
    <t>Customer</t>
  </si>
  <si>
    <t>City</t>
  </si>
  <si>
    <t>Product</t>
  </si>
  <si>
    <t>Category</t>
  </si>
  <si>
    <t>Quantity</t>
  </si>
  <si>
    <t>Unit_Price</t>
  </si>
  <si>
    <t>Sales</t>
  </si>
  <si>
    <t>Payment</t>
  </si>
  <si>
    <t>Rating</t>
  </si>
  <si>
    <t>Rahul</t>
  </si>
  <si>
    <t>Hyderabad</t>
  </si>
  <si>
    <t>Keyboard</t>
  </si>
  <si>
    <t>Accessories</t>
  </si>
  <si>
    <t>UPI</t>
  </si>
  <si>
    <t>Priya</t>
  </si>
  <si>
    <t>Bangalore</t>
  </si>
  <si>
    <t>Tablet</t>
  </si>
  <si>
    <t>Electronics</t>
  </si>
  <si>
    <t>Net Banking</t>
  </si>
  <si>
    <t>Pooja</t>
  </si>
  <si>
    <t>Vijayawada</t>
  </si>
  <si>
    <t>Printer</t>
  </si>
  <si>
    <t>Office Equipment</t>
  </si>
  <si>
    <t>Ajay</t>
  </si>
  <si>
    <t>Guntur</t>
  </si>
  <si>
    <t>Laptop</t>
  </si>
  <si>
    <t>Manoj</t>
  </si>
  <si>
    <t>Monitor</t>
  </si>
  <si>
    <t>Nikhil</t>
  </si>
  <si>
    <t>Card</t>
  </si>
  <si>
    <t>Sneha</t>
  </si>
  <si>
    <t>Headphones</t>
  </si>
  <si>
    <t>Meena</t>
  </si>
  <si>
    <t>Lakshmi</t>
  </si>
  <si>
    <t>Vamsi</t>
  </si>
  <si>
    <t>Divya</t>
  </si>
  <si>
    <t>Chennai</t>
  </si>
  <si>
    <t>Mobile</t>
  </si>
  <si>
    <t>Kiran</t>
  </si>
  <si>
    <t>Arjun</t>
  </si>
  <si>
    <t>Neha</t>
  </si>
  <si>
    <t>Mouse</t>
  </si>
  <si>
    <t>Visakhapatnam</t>
  </si>
  <si>
    <t>Cash</t>
  </si>
  <si>
    <t>Sai</t>
  </si>
  <si>
    <t>Suresh</t>
  </si>
  <si>
    <t>Rohan</t>
  </si>
  <si>
    <t>Ravi</t>
  </si>
  <si>
    <t>Kavya</t>
  </si>
  <si>
    <t>Anu</t>
  </si>
  <si>
    <t>Item</t>
  </si>
  <si>
    <t>Value</t>
  </si>
  <si>
    <t>Project</t>
  </si>
  <si>
    <t>Electronics Sales Performance Dashboard</t>
  </si>
  <si>
    <t>Purpose</t>
  </si>
  <si>
    <t>Data cleaning, formulas, Pivot Tables, Pivot Charts and dashboard</t>
  </si>
  <si>
    <t>Original rows</t>
  </si>
  <si>
    <t>Rows including deliberate duplicates</t>
  </si>
  <si>
    <t>KPI</t>
  </si>
  <si>
    <t>value</t>
  </si>
  <si>
    <t>Total Sales</t>
  </si>
  <si>
    <t>total quantity</t>
  </si>
  <si>
    <t>total orders</t>
  </si>
  <si>
    <t>avg order value</t>
  </si>
  <si>
    <t>avg customer rating</t>
  </si>
  <si>
    <t>Row Labels</t>
  </si>
  <si>
    <t>Grand Total</t>
  </si>
  <si>
    <t>Sum of Sales</t>
  </si>
  <si>
    <t>Average of Rating</t>
  </si>
  <si>
    <t xml:space="preserve">                                ELECTRONICS SALES PERFORMANCE DASHBOARD</t>
  </si>
  <si>
    <t>Average Rating</t>
  </si>
  <si>
    <t>Average Order Value</t>
  </si>
  <si>
    <t>KEY BUSSINESS INSIGHTS</t>
  </si>
  <si>
    <t>1.  Chennai generated the highest sales — ₹3,389,100.</t>
  </si>
  <si>
    <t>2.  Laptop generated the highest total sales.</t>
  </si>
  <si>
    <t>3.  UPI generated the highest sales among payment methods.</t>
  </si>
  <si>
    <t>4.  Hyderabad had the highest average customer rating — 4.37.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</si>
</sst>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8" formatCode="&quot;₹&quot;\ #,##0.00;[Red]&quot;₹&quot;\ \-#,##0.00"/>
    <numFmt numFmtId="164" formatCode="yyyy\-mm\-dd\ hh:mm:ss"/>
  </numFmts>
  <fonts count="6" x14ac:knownFonts="1">
    <font>
      <sz val="11"/>
      <color theme="1"/>
      <name val="Calibri"/>
      <family val="2"/>
      <scheme val="minor"/>
    </font>
    <font>
      <b/>
      <sz val="11"/>
      <name val="Calibri"/>
    </font>
    <font>
      <b/>
      <sz val="11"/>
      <color theme="1"/>
      <name val="Calibri"/>
      <family val="2"/>
      <scheme val="minor"/>
    </font>
    <font>
      <b/>
      <sz val="22"/>
      <color theme="1"/>
      <name val="Times New Roman"/>
      <family val="1"/>
    </font>
    <font>
      <b/>
      <sz val="20"/>
      <color theme="1"/>
      <name val="Times New Roman"/>
      <family val="1"/>
    </font>
    <font>
      <b/>
      <sz val="12"/>
      <color theme="1"/>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3" fillId="0" borderId="0" xfId="0" applyFont="1"/>
    <xf numFmtId="0" fontId="2" fillId="0" borderId="0" xfId="0" applyFont="1"/>
    <xf numFmtId="6" fontId="2" fillId="0" borderId="0" xfId="0" applyNumberFormat="1" applyFont="1"/>
    <xf numFmtId="8" fontId="2" fillId="0" borderId="0" xfId="0" applyNumberFormat="1" applyFont="1"/>
    <xf numFmtId="0" fontId="0" fillId="0" borderId="0" xfId="0">
      <extLst>
        <ext xmlns:xfpb="http://schemas.microsoft.com/office/spreadsheetml/2022/featurepropertybag" uri="{C7286773-470A-42A8-94C5-96B5CB345126}">
          <xfpb:xfComplement i="0"/>
        </ext>
      </extLst>
    </xf>
    <xf numFmtId="0" fontId="4" fillId="0" borderId="0" xfId="0" applyFont="1"/>
    <xf numFmtId="0" fontId="5" fillId="0" borderId="0" xfId="0" applyFont="1"/>
  </cellXfs>
  <cellStyles count="1">
    <cellStyle name="Normal" xfId="0" builtinId="0"/>
  </cellStyles>
  <dxfs count="8">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[Electronics_Sales_Analytics_Project1.xlsx]pt_city!PivotTable4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pt_city!$B$3</c:f>
              <c:strCache>
                <c:ptCount val="1"/>
                <c:pt idx="0">
                  <c:v>Total</c:v>
                </c:pt>
              </c:strCache>
            </c:strRef>
          </c:tx>
          <c:spPr>
            <a:solidFill>
              <a:schemeClr val="accent1"/>
            </a:solidFill>
            <a:ln>
              <a:noFill/>
            </a:ln>
            <a:effectLst/>
          </c:spPr>
          <c:invertIfNegative val="0"/>
          <c:cat>
            <c:strRef>
              <c:f>pt_city!$A$4:$A$10</c:f>
              <c:strCache>
                <c:ptCount val="6"/>
                <c:pt idx="0">
                  <c:v>Bangalore</c:v>
                </c:pt>
                <c:pt idx="1">
                  <c:v>Chennai</c:v>
                </c:pt>
                <c:pt idx="2">
                  <c:v>Guntur</c:v>
                </c:pt>
                <c:pt idx="3">
                  <c:v>Hyderabad</c:v>
                </c:pt>
                <c:pt idx="4">
                  <c:v>Vijayawada</c:v>
                </c:pt>
                <c:pt idx="5">
                  <c:v>Visakhapatnam</c:v>
                </c:pt>
              </c:strCache>
            </c:strRef>
          </c:cat>
          <c:val>
            <c:numRef>
              <c:f>pt_city!$B$4:$B$10</c:f>
              <c:numCache>
                <c:formatCode>General</c:formatCode>
                <c:ptCount val="6"/>
                <c:pt idx="0">
                  <c:v>2978100</c:v>
                </c:pt>
                <c:pt idx="1">
                  <c:v>3389100</c:v>
                </c:pt>
                <c:pt idx="2">
                  <c:v>2288700</c:v>
                </c:pt>
                <c:pt idx="3">
                  <c:v>2880300</c:v>
                </c:pt>
                <c:pt idx="4">
                  <c:v>2789100</c:v>
                </c:pt>
                <c:pt idx="5">
                  <c:v>2705500</c:v>
                </c:pt>
              </c:numCache>
            </c:numRef>
          </c:val>
          <c:extLst>
            <c:ext xmlns:c16="http://schemas.microsoft.com/office/drawing/2014/chart" uri="{C3380CC4-5D6E-409C-BE32-E72D297353CC}">
              <c16:uniqueId val="{00000000-A5FB-4373-9301-A58BBFC7A83A}"/>
            </c:ext>
          </c:extLst>
        </c:ser>
        <c:dLbls>
          <c:showLegendKey val="0"/>
          <c:showVal val="0"/>
          <c:showCatName val="0"/>
          <c:showSerName val="0"/>
          <c:showPercent val="0"/>
          <c:showBubbleSize val="0"/>
        </c:dLbls>
        <c:gapWidth val="219"/>
        <c:overlap val="-27"/>
        <c:axId val="2022378223"/>
        <c:axId val="1935738191"/>
      </c:barChart>
      <c:catAx>
        <c:axId val="202237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738191"/>
        <c:crosses val="autoZero"/>
        <c:auto val="1"/>
        <c:lblAlgn val="ctr"/>
        <c:lblOffset val="100"/>
        <c:noMultiLvlLbl val="0"/>
      </c:catAx>
      <c:valAx>
        <c:axId val="193573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37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[Electronics_Sales_Analytics_Project1.xlsx]pt_product!PivotTable5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pt_product!$B$3</c:f>
              <c:strCache>
                <c:ptCount val="1"/>
                <c:pt idx="0">
                  <c:v>Total</c:v>
                </c:pt>
              </c:strCache>
            </c:strRef>
          </c:tx>
          <c:spPr>
            <a:solidFill>
              <a:schemeClr val="accent1"/>
            </a:solidFill>
            <a:ln>
              <a:noFill/>
            </a:ln>
            <a:effectLst/>
          </c:spPr>
          <c:invertIfNegative val="0"/>
          <c:cat>
            <c:strRef>
              <c:f>pt_product!$A$4:$A$12</c:f>
              <c:strCache>
                <c:ptCount val="8"/>
                <c:pt idx="0">
                  <c:v>Headphones</c:v>
                </c:pt>
                <c:pt idx="1">
                  <c:v>Keyboard</c:v>
                </c:pt>
                <c:pt idx="2">
                  <c:v>Laptop</c:v>
                </c:pt>
                <c:pt idx="3">
                  <c:v>Mobile</c:v>
                </c:pt>
                <c:pt idx="4">
                  <c:v>Monitor</c:v>
                </c:pt>
                <c:pt idx="5">
                  <c:v>Mouse</c:v>
                </c:pt>
                <c:pt idx="6">
                  <c:v>Printer</c:v>
                </c:pt>
                <c:pt idx="7">
                  <c:v>Tablet</c:v>
                </c:pt>
              </c:strCache>
            </c:strRef>
          </c:cat>
          <c:val>
            <c:numRef>
              <c:f>pt_product!$B$4:$B$12</c:f>
              <c:numCache>
                <c:formatCode>General</c:formatCode>
                <c:ptCount val="8"/>
                <c:pt idx="0">
                  <c:v>210000</c:v>
                </c:pt>
                <c:pt idx="1">
                  <c:v>196000</c:v>
                </c:pt>
                <c:pt idx="2">
                  <c:v>7924500</c:v>
                </c:pt>
                <c:pt idx="3">
                  <c:v>3403500</c:v>
                </c:pt>
                <c:pt idx="4">
                  <c:v>1674000</c:v>
                </c:pt>
                <c:pt idx="5">
                  <c:v>95300</c:v>
                </c:pt>
                <c:pt idx="6">
                  <c:v>1259000</c:v>
                </c:pt>
                <c:pt idx="7">
                  <c:v>2268500</c:v>
                </c:pt>
              </c:numCache>
            </c:numRef>
          </c:val>
          <c:extLst>
            <c:ext xmlns:c16="http://schemas.microsoft.com/office/drawing/2014/chart" uri="{C3380CC4-5D6E-409C-BE32-E72D297353CC}">
              <c16:uniqueId val="{00000000-8751-4A86-9E74-99C61AA7027D}"/>
            </c:ext>
          </c:extLst>
        </c:ser>
        <c:dLbls>
          <c:showLegendKey val="0"/>
          <c:showVal val="0"/>
          <c:showCatName val="0"/>
          <c:showSerName val="0"/>
          <c:showPercent val="0"/>
          <c:showBubbleSize val="0"/>
        </c:dLbls>
        <c:gapWidth val="219"/>
        <c:overlap val="-27"/>
        <c:axId val="1933569279"/>
        <c:axId val="1935715151"/>
      </c:barChart>
      <c:catAx>
        <c:axId val="193356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715151"/>
        <c:crosses val="autoZero"/>
        <c:auto val="1"/>
        <c:lblAlgn val="ctr"/>
        <c:lblOffset val="100"/>
        <c:noMultiLvlLbl val="0"/>
      </c:catAx>
      <c:valAx>
        <c:axId val="193571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56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[Electronics_Sales_Analytics_Project1.xlsx]pt_pay_method!PivotTable6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pt_pay_method!$B$3</c:f>
              <c:strCache>
                <c:ptCount val="1"/>
                <c:pt idx="0">
                  <c:v>Total</c:v>
                </c:pt>
              </c:strCache>
            </c:strRef>
          </c:tx>
          <c:spPr>
            <a:solidFill>
              <a:schemeClr val="accent1"/>
            </a:solidFill>
            <a:ln>
              <a:noFill/>
            </a:ln>
            <a:effectLst/>
          </c:spPr>
          <c:invertIfNegative val="0"/>
          <c:cat>
            <c:strRef>
              <c:f>pt_pay_method!$A$4:$A$8</c:f>
              <c:strCache>
                <c:ptCount val="4"/>
                <c:pt idx="0">
                  <c:v>Card</c:v>
                </c:pt>
                <c:pt idx="1">
                  <c:v>Cash</c:v>
                </c:pt>
                <c:pt idx="2">
                  <c:v>Net Banking</c:v>
                </c:pt>
                <c:pt idx="3">
                  <c:v>UPI</c:v>
                </c:pt>
              </c:strCache>
            </c:strRef>
          </c:cat>
          <c:val>
            <c:numRef>
              <c:f>pt_pay_method!$B$4:$B$8</c:f>
              <c:numCache>
                <c:formatCode>General</c:formatCode>
                <c:ptCount val="4"/>
                <c:pt idx="0">
                  <c:v>6079700</c:v>
                </c:pt>
                <c:pt idx="1">
                  <c:v>1628800</c:v>
                </c:pt>
                <c:pt idx="2">
                  <c:v>2634200</c:v>
                </c:pt>
                <c:pt idx="3">
                  <c:v>6688100</c:v>
                </c:pt>
              </c:numCache>
            </c:numRef>
          </c:val>
          <c:extLst>
            <c:ext xmlns:c16="http://schemas.microsoft.com/office/drawing/2014/chart" uri="{C3380CC4-5D6E-409C-BE32-E72D297353CC}">
              <c16:uniqueId val="{00000000-CAAC-4E00-94BC-992613CD4296}"/>
            </c:ext>
          </c:extLst>
        </c:ser>
        <c:dLbls>
          <c:showLegendKey val="0"/>
          <c:showVal val="0"/>
          <c:showCatName val="0"/>
          <c:showSerName val="0"/>
          <c:showPercent val="0"/>
          <c:showBubbleSize val="0"/>
        </c:dLbls>
        <c:gapWidth val="219"/>
        <c:overlap val="-27"/>
        <c:axId val="2022393535"/>
        <c:axId val="1799732559"/>
      </c:barChart>
      <c:catAx>
        <c:axId val="202239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732559"/>
        <c:crosses val="autoZero"/>
        <c:auto val="1"/>
        <c:lblAlgn val="ctr"/>
        <c:lblOffset val="100"/>
        <c:noMultiLvlLbl val="0"/>
      </c:catAx>
      <c:valAx>
        <c:axId val="1799732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39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[Electronics_Sales_Analytics_Project1.xlsx]pt_avg!PivotTable7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Rating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pt_avg!$B$3</c:f>
              <c:strCache>
                <c:ptCount val="1"/>
                <c:pt idx="0">
                  <c:v>Total</c:v>
                </c:pt>
              </c:strCache>
            </c:strRef>
          </c:tx>
          <c:spPr>
            <a:solidFill>
              <a:schemeClr val="accent1"/>
            </a:solidFill>
            <a:ln>
              <a:noFill/>
            </a:ln>
            <a:effectLst/>
          </c:spPr>
          <c:invertIfNegative val="0"/>
          <c:cat>
            <c:strRef>
              <c:f>pt_avg!$A$4:$A$10</c:f>
              <c:strCache>
                <c:ptCount val="6"/>
                <c:pt idx="0">
                  <c:v>Bangalore</c:v>
                </c:pt>
                <c:pt idx="1">
                  <c:v>Chennai</c:v>
                </c:pt>
                <c:pt idx="2">
                  <c:v>Guntur</c:v>
                </c:pt>
                <c:pt idx="3">
                  <c:v>Hyderabad</c:v>
                </c:pt>
                <c:pt idx="4">
                  <c:v>Vijayawada</c:v>
                </c:pt>
                <c:pt idx="5">
                  <c:v>Visakhapatnam</c:v>
                </c:pt>
              </c:strCache>
            </c:strRef>
          </c:cat>
          <c:val>
            <c:numRef>
              <c:f>pt_avg!$B$4:$B$10</c:f>
              <c:numCache>
                <c:formatCode>General</c:formatCode>
                <c:ptCount val="6"/>
                <c:pt idx="0">
                  <c:v>4.2197802197802199</c:v>
                </c:pt>
                <c:pt idx="1">
                  <c:v>4.2093023255813957</c:v>
                </c:pt>
                <c:pt idx="2">
                  <c:v>4.2558139534883717</c:v>
                </c:pt>
                <c:pt idx="3">
                  <c:v>4.3684210526315788</c:v>
                </c:pt>
                <c:pt idx="4">
                  <c:v>4.2073170731707314</c:v>
                </c:pt>
                <c:pt idx="5">
                  <c:v>4.2151898734177218</c:v>
                </c:pt>
              </c:numCache>
            </c:numRef>
          </c:val>
          <c:extLst>
            <c:ext xmlns:c16="http://schemas.microsoft.com/office/drawing/2014/chart" uri="{C3380CC4-5D6E-409C-BE32-E72D297353CC}">
              <c16:uniqueId val="{00000000-92A6-4119-B928-22B0A4E0FFE7}"/>
            </c:ext>
          </c:extLst>
        </c:ser>
        <c:dLbls>
          <c:showLegendKey val="0"/>
          <c:showVal val="0"/>
          <c:showCatName val="0"/>
          <c:showSerName val="0"/>
          <c:showPercent val="0"/>
          <c:showBubbleSize val="0"/>
        </c:dLbls>
        <c:gapWidth val="219"/>
        <c:overlap val="-27"/>
        <c:axId val="2019444127"/>
        <c:axId val="1713735023"/>
      </c:barChart>
      <c:catAx>
        <c:axId val="201944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735023"/>
        <c:crosses val="autoZero"/>
        <c:auto val="1"/>
        <c:lblAlgn val="ctr"/>
        <c:lblOffset val="100"/>
        <c:noMultiLvlLbl val="0"/>
      </c:catAx>
      <c:valAx>
        <c:axId val="171373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44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45720</xdr:colOff>
      <xdr:row>9</xdr:row>
      <xdr:rowOff>99060</xdr:rowOff>
    </xdr:from>
    <xdr:to>
      <xdr:col>10</xdr:col>
      <xdr:colOff>45720</xdr:colOff>
      <xdr:row>23</xdr:row>
      <xdr:rowOff>5715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AC0F364B-6612-5066-83E1-B22C96770FF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823460" y="1744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6</xdr:row>
      <xdr:rowOff>0</xdr:rowOff>
    </xdr:from>
    <xdr:to>
      <xdr:col>6</xdr:col>
      <xdr:colOff>365760</xdr:colOff>
      <xdr:row>21</xdr:row>
      <xdr:rowOff>0</xdr:rowOff>
    </xdr:to>
    <xdr:graphicFrame macro="">
      <xdr:nvGraphicFramePr>
        <xdr:cNvPr id="13" name="Chart 12">
          <a:extLst>
            <a:ext uri="{FF2B5EF4-FFF2-40B4-BE49-F238E27FC236}">
              <a16:creationId xmlns:a16="http://schemas.microsoft.com/office/drawing/2014/main" id="{C33A1182-1C2B-4E89-92F1-5E4002C4E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373380</xdr:colOff>
      <xdr:row>6</xdr:row>
      <xdr:rowOff>7620</xdr:rowOff>
    </xdr:from>
    <xdr:to>
      <xdr:col>12</xdr:col>
      <xdr:colOff>403860</xdr:colOff>
      <xdr:row>21</xdr:row>
      <xdr:rowOff>7620</xdr:rowOff>
    </xdr:to>
    <xdr:graphicFrame macro="">
      <xdr:nvGraphicFramePr>
        <xdr:cNvPr id="14" name="Chart 13">
          <a:extLst>
            <a:ext uri="{FF2B5EF4-FFF2-40B4-BE49-F238E27FC236}">
              <a16:creationId xmlns:a16="http://schemas.microsoft.com/office/drawing/2014/main" id="{C71AFB14-49EA-40F0-9E36-A31E8A624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21</xdr:row>
      <xdr:rowOff>22860</xdr:rowOff>
    </xdr:from>
    <xdr:to>
      <xdr:col>6</xdr:col>
      <xdr:colOff>403860</xdr:colOff>
      <xdr:row>36</xdr:row>
      <xdr:rowOff>22860</xdr:rowOff>
    </xdr:to>
    <xdr:graphicFrame macro="">
      <xdr:nvGraphicFramePr>
        <xdr:cNvPr id="15" name="Chart 14">
          <a:extLst>
            <a:ext uri="{FF2B5EF4-FFF2-40B4-BE49-F238E27FC236}">
              <a16:creationId xmlns:a16="http://schemas.microsoft.com/office/drawing/2014/main" id="{B809A8C5-A71E-4A9F-BA2D-29135A4C4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381000</xdr:colOff>
      <xdr:row>21</xdr:row>
      <xdr:rowOff>7620</xdr:rowOff>
    </xdr:from>
    <xdr:to>
      <xdr:col>12</xdr:col>
      <xdr:colOff>411480</xdr:colOff>
      <xdr:row>36</xdr:row>
      <xdr:rowOff>7620</xdr:rowOff>
    </xdr:to>
    <xdr:graphicFrame macro="">
      <xdr:nvGraphicFramePr>
        <xdr:cNvPr id="16" name="Chart 15">
          <a:extLst>
            <a:ext uri="{FF2B5EF4-FFF2-40B4-BE49-F238E27FC236}">
              <a16:creationId xmlns:a16="http://schemas.microsoft.com/office/drawing/2014/main" id="{D890E9A0-388E-44F3-BEEC-0B4042C71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HITH" refreshedDate="46254.646918634258" createdVersion="8" refreshedVersion="8" minRefreshableVersion="3" recordCount="500" xr:uid="{4546390A-DD39-4C9D-A21C-A52D330DD627}">
  <cacheSource type="worksheet">
    <worksheetSource name="Table35"/>
  </cacheSource>
  <cacheFields count="11">
    <cacheField name="Order_ID" numFmtId="0">
      <sharedItems containsSemiMixedTypes="0" containsString="0" containsNumber="1" containsInteger="1" minValue="1001" maxValue="1500"/>
    </cacheField>
    <cacheField name="Date" numFmtId="164">
      <sharedItems containsSemiMixedTypes="0" containsNonDate="0" containsDate="1" containsString="0" minDate="2026-01-01T00:00:00" maxDate="2026-07-01T00:00:00"/>
    </cacheField>
    <cacheField name="Customer" numFmtId="0">
      <sharedItems/>
    </cacheField>
    <cacheField name="City" numFmtId="0">
      <sharedItems count="6">
        <s v="Hyderabad"/>
        <s v="Bangalore"/>
        <s v="Vijayawada"/>
        <s v="Guntur"/>
        <s v="Chennai"/>
        <s v="Visakhapatnam"/>
      </sharedItems>
    </cacheField>
    <cacheField name="Product" numFmtId="0">
      <sharedItems count="8">
        <s v="Keyboard"/>
        <s v="Tablet"/>
        <s v="Printer"/>
        <s v="Laptop"/>
        <s v="Monitor"/>
        <s v="Headphones"/>
        <s v="Mobile"/>
        <s v="Mouse"/>
      </sharedItems>
    </cacheField>
    <cacheField name="Categor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300" maxValue="55500"/>
    </cacheField>
    <cacheField name="Sales" numFmtId="0">
      <sharedItems containsSemiMixedTypes="0" containsString="0" containsNumber="1" containsInteger="1" minValue="300" maxValue="275000"/>
    </cacheField>
    <cacheField name="Payment" numFmtId="0">
      <sharedItems count="4">
        <s v="UPI"/>
        <s v="Net Banking"/>
        <s v="Card"/>
        <s v="Cash"/>
      </sharedItems>
    </cacheField>
    <cacheField name="Rating" numFmtId="0">
      <sharedItems containsSemiMixedTypes="0" containsString="0" containsNumber="1" containsInteger="1" minValue="2" maxValue="5"/>
    </cacheField>
  </cacheFields>
  <extLst>
    <ext xmlns:x14="http://schemas.microsoft.com/office/spreadsheetml/2009/9/main" uri="{725AE2AE-9491-48be-B2B4-4EB974FC3084}">
      <x14:pivotCacheDefinition pivotCacheId="11732771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d v="2026-01-01T00:00:00"/>
    <s v="Rahul"/>
    <x v="0"/>
    <x v="0"/>
    <s v="Accessories"/>
    <n v="4"/>
    <n v="1500"/>
    <n v="6000"/>
    <x v="0"/>
    <n v="3"/>
  </r>
  <r>
    <n v="1002"/>
    <d v="2026-01-01T08:39:26"/>
    <s v="Priya"/>
    <x v="1"/>
    <x v="1"/>
    <s v="Electronics"/>
    <n v="2"/>
    <n v="22000"/>
    <n v="44000"/>
    <x v="1"/>
    <n v="2"/>
  </r>
  <r>
    <n v="1003"/>
    <d v="2026-01-01T17:18:53"/>
    <s v="Pooja"/>
    <x v="2"/>
    <x v="2"/>
    <s v="Office Equipment"/>
    <n v="2"/>
    <n v="14000"/>
    <n v="28000"/>
    <x v="0"/>
    <n v="5"/>
  </r>
  <r>
    <n v="1004"/>
    <d v="2026-01-02T01:58:19"/>
    <s v="Ajay"/>
    <x v="3"/>
    <x v="3"/>
    <s v="Electronics"/>
    <n v="1"/>
    <n v="55000"/>
    <n v="55000"/>
    <x v="0"/>
    <n v="4"/>
  </r>
  <r>
    <n v="1005"/>
    <d v="2026-01-02T10:37:45"/>
    <s v="Manoj"/>
    <x v="0"/>
    <x v="4"/>
    <s v="Electronics"/>
    <n v="1"/>
    <n v="12000"/>
    <n v="12000"/>
    <x v="1"/>
    <n v="5"/>
  </r>
  <r>
    <n v="1006"/>
    <d v="2026-01-02T19:17:12"/>
    <s v="Nikhil"/>
    <x v="1"/>
    <x v="1"/>
    <s v="Electronics"/>
    <n v="1"/>
    <n v="21500"/>
    <n v="21500"/>
    <x v="2"/>
    <n v="3"/>
  </r>
  <r>
    <n v="1007"/>
    <d v="2026-01-03T03:56:38"/>
    <s v="Sneha"/>
    <x v="0"/>
    <x v="5"/>
    <s v="Accessories"/>
    <n v="1"/>
    <n v="3000"/>
    <n v="3000"/>
    <x v="2"/>
    <n v="4"/>
  </r>
  <r>
    <n v="1008"/>
    <d v="2026-01-03T12:36:04"/>
    <s v="Meena"/>
    <x v="0"/>
    <x v="5"/>
    <s v="Accessories"/>
    <n v="2"/>
    <n v="2500"/>
    <n v="5000"/>
    <x v="2"/>
    <n v="4"/>
  </r>
  <r>
    <n v="1009"/>
    <d v="2026-01-03T21:15:31"/>
    <s v="Lakshmi"/>
    <x v="1"/>
    <x v="2"/>
    <s v="Office Equipment"/>
    <n v="2"/>
    <n v="14000"/>
    <n v="28000"/>
    <x v="0"/>
    <n v="4"/>
  </r>
  <r>
    <n v="1010"/>
    <d v="2026-01-04T05:54:57"/>
    <s v="Vamsi"/>
    <x v="2"/>
    <x v="0"/>
    <s v="Accessories"/>
    <n v="1"/>
    <n v="1500"/>
    <n v="1500"/>
    <x v="0"/>
    <n v="4"/>
  </r>
  <r>
    <n v="1011"/>
    <d v="2026-01-04T14:34:23"/>
    <s v="Divya"/>
    <x v="4"/>
    <x v="3"/>
    <s v="Electronics"/>
    <n v="1"/>
    <n v="55000"/>
    <n v="55000"/>
    <x v="0"/>
    <n v="5"/>
  </r>
  <r>
    <n v="1012"/>
    <d v="2026-01-04T23:13:50"/>
    <s v="Manoj"/>
    <x v="1"/>
    <x v="6"/>
    <s v="Electronics"/>
    <n v="2"/>
    <n v="25500"/>
    <n v="51000"/>
    <x v="1"/>
    <n v="5"/>
  </r>
  <r>
    <n v="1013"/>
    <d v="2026-01-05T07:53:16"/>
    <s v="Kiran"/>
    <x v="4"/>
    <x v="0"/>
    <s v="Accessories"/>
    <n v="1"/>
    <n v="1500"/>
    <n v="1500"/>
    <x v="2"/>
    <n v="4"/>
  </r>
  <r>
    <n v="1014"/>
    <d v="2026-01-05T16:32:42"/>
    <s v="Arjun"/>
    <x v="2"/>
    <x v="4"/>
    <s v="Electronics"/>
    <n v="1"/>
    <n v="12500"/>
    <n v="12500"/>
    <x v="2"/>
    <n v="4"/>
  </r>
  <r>
    <n v="1015"/>
    <d v="2026-01-06T01:12:09"/>
    <s v="Neha"/>
    <x v="1"/>
    <x v="7"/>
    <s v="Accessories"/>
    <n v="1"/>
    <n v="800"/>
    <n v="800"/>
    <x v="0"/>
    <n v="3"/>
  </r>
  <r>
    <n v="1016"/>
    <d v="2026-01-06T09:51:35"/>
    <s v="Kiran"/>
    <x v="5"/>
    <x v="4"/>
    <s v="Electronics"/>
    <n v="1"/>
    <n v="12000"/>
    <n v="12000"/>
    <x v="2"/>
    <n v="4"/>
  </r>
  <r>
    <n v="1017"/>
    <d v="2026-01-06T18:31:01"/>
    <s v="Priya"/>
    <x v="0"/>
    <x v="2"/>
    <s v="Office Equipment"/>
    <n v="2"/>
    <n v="14000"/>
    <n v="28000"/>
    <x v="3"/>
    <n v="5"/>
  </r>
  <r>
    <n v="1018"/>
    <d v="2026-01-07T03:10:28"/>
    <s v="Sai"/>
    <x v="0"/>
    <x v="1"/>
    <s v="Electronics"/>
    <n v="3"/>
    <n v="22000"/>
    <n v="66000"/>
    <x v="0"/>
    <n v="4"/>
  </r>
  <r>
    <n v="1019"/>
    <d v="2026-01-07T11:49:54"/>
    <s v="Nikhil"/>
    <x v="5"/>
    <x v="2"/>
    <s v="Office Equipment"/>
    <n v="1"/>
    <n v="14000"/>
    <n v="14000"/>
    <x v="1"/>
    <n v="2"/>
  </r>
  <r>
    <n v="1020"/>
    <d v="2026-01-07T20:29:20"/>
    <s v="Suresh"/>
    <x v="0"/>
    <x v="5"/>
    <s v="Accessories"/>
    <n v="1"/>
    <n v="2500"/>
    <n v="2500"/>
    <x v="0"/>
    <n v="5"/>
  </r>
  <r>
    <n v="1021"/>
    <d v="2026-01-08T05:08:47"/>
    <s v="Rohan"/>
    <x v="3"/>
    <x v="0"/>
    <s v="Accessories"/>
    <n v="2"/>
    <n v="1500"/>
    <n v="3000"/>
    <x v="1"/>
    <n v="5"/>
  </r>
  <r>
    <n v="1022"/>
    <d v="2026-01-08T13:48:13"/>
    <s v="Rohan"/>
    <x v="2"/>
    <x v="7"/>
    <s v="Accessories"/>
    <n v="2"/>
    <n v="800"/>
    <n v="1600"/>
    <x v="0"/>
    <n v="5"/>
  </r>
  <r>
    <n v="1023"/>
    <d v="2026-01-08T22:27:39"/>
    <s v="Ravi"/>
    <x v="4"/>
    <x v="0"/>
    <s v="Accessories"/>
    <n v="1"/>
    <n v="1500"/>
    <n v="1500"/>
    <x v="2"/>
    <n v="4"/>
  </r>
  <r>
    <n v="1024"/>
    <d v="2026-01-09T07:07:06"/>
    <s v="Sai"/>
    <x v="4"/>
    <x v="5"/>
    <s v="Accessories"/>
    <n v="2"/>
    <n v="2500"/>
    <n v="5000"/>
    <x v="0"/>
    <n v="5"/>
  </r>
  <r>
    <n v="1025"/>
    <d v="2026-01-09T15:46:32"/>
    <s v="Kavya"/>
    <x v="2"/>
    <x v="5"/>
    <s v="Accessories"/>
    <n v="5"/>
    <n v="2500"/>
    <n v="12500"/>
    <x v="0"/>
    <n v="4"/>
  </r>
  <r>
    <n v="1026"/>
    <d v="2026-01-10T00:25:58"/>
    <s v="Sneha"/>
    <x v="4"/>
    <x v="6"/>
    <s v="Electronics"/>
    <n v="3"/>
    <n v="25000"/>
    <n v="75000"/>
    <x v="2"/>
    <n v="5"/>
  </r>
  <r>
    <n v="1027"/>
    <d v="2026-01-10T09:05:25"/>
    <s v="Divya"/>
    <x v="0"/>
    <x v="0"/>
    <s v="Accessories"/>
    <n v="1"/>
    <n v="2000"/>
    <n v="2000"/>
    <x v="3"/>
    <n v="5"/>
  </r>
  <r>
    <n v="1028"/>
    <d v="2026-01-10T17:44:51"/>
    <s v="Neha"/>
    <x v="4"/>
    <x v="6"/>
    <s v="Electronics"/>
    <n v="1"/>
    <n v="25000"/>
    <n v="25000"/>
    <x v="0"/>
    <n v="4"/>
  </r>
  <r>
    <n v="1029"/>
    <d v="2026-01-11T02:24:17"/>
    <s v="Ravi"/>
    <x v="3"/>
    <x v="2"/>
    <s v="Office Equipment"/>
    <n v="2"/>
    <n v="14000"/>
    <n v="28000"/>
    <x v="1"/>
    <n v="5"/>
  </r>
  <r>
    <n v="1030"/>
    <d v="2026-01-11T11:03:44"/>
    <s v="Kavya"/>
    <x v="4"/>
    <x v="4"/>
    <s v="Electronics"/>
    <n v="1"/>
    <n v="12000"/>
    <n v="12000"/>
    <x v="3"/>
    <n v="4"/>
  </r>
  <r>
    <n v="1031"/>
    <d v="2026-01-11T19:43:10"/>
    <s v="Sneha"/>
    <x v="3"/>
    <x v="1"/>
    <s v="Electronics"/>
    <n v="3"/>
    <n v="22500"/>
    <n v="67500"/>
    <x v="2"/>
    <n v="5"/>
  </r>
  <r>
    <n v="1032"/>
    <d v="2026-01-12T04:22:36"/>
    <s v="Meena"/>
    <x v="3"/>
    <x v="0"/>
    <s v="Accessories"/>
    <n v="4"/>
    <n v="2000"/>
    <n v="8000"/>
    <x v="2"/>
    <n v="5"/>
  </r>
  <r>
    <n v="1033"/>
    <d v="2026-01-12T13:02:03"/>
    <s v="Ravi"/>
    <x v="3"/>
    <x v="4"/>
    <s v="Electronics"/>
    <n v="1"/>
    <n v="12000"/>
    <n v="12000"/>
    <x v="0"/>
    <n v="5"/>
  </r>
  <r>
    <n v="1034"/>
    <d v="2026-01-12T21:41:29"/>
    <s v="Ravi"/>
    <x v="1"/>
    <x v="4"/>
    <s v="Electronics"/>
    <n v="3"/>
    <n v="12000"/>
    <n v="36000"/>
    <x v="2"/>
    <n v="5"/>
  </r>
  <r>
    <n v="1035"/>
    <d v="2026-01-13T06:20:55"/>
    <s v="Suresh"/>
    <x v="3"/>
    <x v="7"/>
    <s v="Accessories"/>
    <n v="2"/>
    <n v="1300"/>
    <n v="2600"/>
    <x v="1"/>
    <n v="4"/>
  </r>
  <r>
    <n v="1036"/>
    <d v="2026-01-13T15:00:22"/>
    <s v="Ravi"/>
    <x v="5"/>
    <x v="0"/>
    <s v="Accessories"/>
    <n v="2"/>
    <n v="1500"/>
    <n v="3000"/>
    <x v="0"/>
    <n v="4"/>
  </r>
  <r>
    <n v="1037"/>
    <d v="2026-01-13T23:39:48"/>
    <s v="Pooja"/>
    <x v="1"/>
    <x v="4"/>
    <s v="Electronics"/>
    <n v="3"/>
    <n v="11500"/>
    <n v="34500"/>
    <x v="2"/>
    <n v="4"/>
  </r>
  <r>
    <n v="1038"/>
    <d v="2026-01-14T08:19:14"/>
    <s v="Rohan"/>
    <x v="3"/>
    <x v="1"/>
    <s v="Electronics"/>
    <n v="2"/>
    <n v="22500"/>
    <n v="45000"/>
    <x v="1"/>
    <n v="5"/>
  </r>
  <r>
    <n v="1039"/>
    <d v="2026-01-14T16:58:41"/>
    <s v="Ravi"/>
    <x v="4"/>
    <x v="1"/>
    <s v="Electronics"/>
    <n v="1"/>
    <n v="22000"/>
    <n v="22000"/>
    <x v="0"/>
    <n v="5"/>
  </r>
  <r>
    <n v="1040"/>
    <d v="2026-01-15T01:38:07"/>
    <s v="Meena"/>
    <x v="3"/>
    <x v="2"/>
    <s v="Office Equipment"/>
    <n v="2"/>
    <n v="14000"/>
    <n v="28000"/>
    <x v="0"/>
    <n v="4"/>
  </r>
  <r>
    <n v="1041"/>
    <d v="2026-01-15T10:17:33"/>
    <s v="Manoj"/>
    <x v="4"/>
    <x v="7"/>
    <s v="Accessories"/>
    <n v="1"/>
    <n v="800"/>
    <n v="800"/>
    <x v="2"/>
    <n v="5"/>
  </r>
  <r>
    <n v="1042"/>
    <d v="2026-01-15T18:57:00"/>
    <s v="Vamsi"/>
    <x v="1"/>
    <x v="7"/>
    <s v="Accessories"/>
    <n v="1"/>
    <n v="800"/>
    <n v="800"/>
    <x v="2"/>
    <n v="4"/>
  </r>
  <r>
    <n v="1043"/>
    <d v="2026-01-16T03:36:26"/>
    <s v="Kavya"/>
    <x v="3"/>
    <x v="6"/>
    <s v="Electronics"/>
    <n v="2"/>
    <n v="25000"/>
    <n v="50000"/>
    <x v="1"/>
    <n v="4"/>
  </r>
  <r>
    <n v="1044"/>
    <d v="2026-01-16T12:15:52"/>
    <s v="Suresh"/>
    <x v="2"/>
    <x v="0"/>
    <s v="Accessories"/>
    <n v="1"/>
    <n v="1500"/>
    <n v="1500"/>
    <x v="0"/>
    <n v="5"/>
  </r>
  <r>
    <n v="1045"/>
    <d v="2026-01-16T20:55:19"/>
    <s v="Neha"/>
    <x v="3"/>
    <x v="1"/>
    <s v="Electronics"/>
    <n v="3"/>
    <n v="22000"/>
    <n v="66000"/>
    <x v="0"/>
    <n v="4"/>
  </r>
  <r>
    <n v="1046"/>
    <d v="2026-01-17T05:34:45"/>
    <s v="Pooja"/>
    <x v="5"/>
    <x v="0"/>
    <s v="Accessories"/>
    <n v="3"/>
    <n v="1500"/>
    <n v="4500"/>
    <x v="2"/>
    <n v="5"/>
  </r>
  <r>
    <n v="1047"/>
    <d v="2026-01-17T14:14:11"/>
    <s v="Divya"/>
    <x v="1"/>
    <x v="7"/>
    <s v="Accessories"/>
    <n v="1"/>
    <n v="800"/>
    <n v="800"/>
    <x v="0"/>
    <n v="5"/>
  </r>
  <r>
    <n v="1048"/>
    <d v="2026-01-17T22:53:38"/>
    <s v="Suresh"/>
    <x v="1"/>
    <x v="6"/>
    <s v="Electronics"/>
    <n v="1"/>
    <n v="25000"/>
    <n v="25000"/>
    <x v="3"/>
    <n v="4"/>
  </r>
  <r>
    <n v="1049"/>
    <d v="2026-01-18T07:33:04"/>
    <s v="Pooja"/>
    <x v="5"/>
    <x v="7"/>
    <s v="Accessories"/>
    <n v="1"/>
    <n v="800"/>
    <n v="800"/>
    <x v="0"/>
    <n v="5"/>
  </r>
  <r>
    <n v="1050"/>
    <d v="2026-01-18T16:12:30"/>
    <s v="Divya"/>
    <x v="5"/>
    <x v="5"/>
    <s v="Accessories"/>
    <n v="1"/>
    <n v="2000"/>
    <n v="2000"/>
    <x v="0"/>
    <n v="5"/>
  </r>
  <r>
    <n v="1051"/>
    <d v="2026-01-19T00:51:57"/>
    <s v="Arjun"/>
    <x v="1"/>
    <x v="6"/>
    <s v="Electronics"/>
    <n v="2"/>
    <n v="25000"/>
    <n v="50000"/>
    <x v="2"/>
    <n v="4"/>
  </r>
  <r>
    <n v="1052"/>
    <d v="2026-01-19T09:31:23"/>
    <s v="Ajay"/>
    <x v="2"/>
    <x v="3"/>
    <s v="Electronics"/>
    <n v="1"/>
    <n v="54500"/>
    <n v="54500"/>
    <x v="0"/>
    <n v="5"/>
  </r>
  <r>
    <n v="1053"/>
    <d v="2026-01-19T18:10:49"/>
    <s v="Rahul"/>
    <x v="1"/>
    <x v="7"/>
    <s v="Accessories"/>
    <n v="1"/>
    <n v="800"/>
    <n v="800"/>
    <x v="0"/>
    <n v="4"/>
  </r>
  <r>
    <n v="1054"/>
    <d v="2026-01-20T02:50:16"/>
    <s v="Priya"/>
    <x v="1"/>
    <x v="0"/>
    <s v="Accessories"/>
    <n v="2"/>
    <n v="1500"/>
    <n v="3000"/>
    <x v="0"/>
    <n v="5"/>
  </r>
  <r>
    <n v="1055"/>
    <d v="2026-01-20T11:29:42"/>
    <s v="Sneha"/>
    <x v="0"/>
    <x v="5"/>
    <s v="Accessories"/>
    <n v="3"/>
    <n v="2500"/>
    <n v="7500"/>
    <x v="0"/>
    <n v="5"/>
  </r>
  <r>
    <n v="1056"/>
    <d v="2026-01-20T20:09:08"/>
    <s v="Ravi"/>
    <x v="2"/>
    <x v="2"/>
    <s v="Office Equipment"/>
    <n v="2"/>
    <n v="14000"/>
    <n v="28000"/>
    <x v="3"/>
    <n v="5"/>
  </r>
  <r>
    <n v="1057"/>
    <d v="2026-01-21T04:48:35"/>
    <s v="Sai"/>
    <x v="1"/>
    <x v="4"/>
    <s v="Electronics"/>
    <n v="3"/>
    <n v="12000"/>
    <n v="36000"/>
    <x v="0"/>
    <n v="4"/>
  </r>
  <r>
    <n v="1058"/>
    <d v="2026-01-21T13:28:01"/>
    <s v="Rohan"/>
    <x v="0"/>
    <x v="0"/>
    <s v="Accessories"/>
    <n v="1"/>
    <n v="1500"/>
    <n v="1500"/>
    <x v="0"/>
    <n v="5"/>
  </r>
  <r>
    <n v="1059"/>
    <d v="2026-01-21T22:07:27"/>
    <s v="Sneha"/>
    <x v="0"/>
    <x v="3"/>
    <s v="Electronics"/>
    <n v="3"/>
    <n v="55000"/>
    <n v="165000"/>
    <x v="2"/>
    <n v="5"/>
  </r>
  <r>
    <n v="1060"/>
    <d v="2026-01-22T06:46:54"/>
    <s v="Sneha"/>
    <x v="0"/>
    <x v="1"/>
    <s v="Electronics"/>
    <n v="2"/>
    <n v="22000"/>
    <n v="44000"/>
    <x v="2"/>
    <n v="5"/>
  </r>
  <r>
    <n v="1061"/>
    <d v="2026-01-22T15:26:20"/>
    <s v="Rohan"/>
    <x v="3"/>
    <x v="4"/>
    <s v="Electronics"/>
    <n v="2"/>
    <n v="12000"/>
    <n v="24000"/>
    <x v="2"/>
    <n v="4"/>
  </r>
  <r>
    <n v="1062"/>
    <d v="2026-01-23T00:05:46"/>
    <s v="Rohan"/>
    <x v="2"/>
    <x v="6"/>
    <s v="Electronics"/>
    <n v="2"/>
    <n v="25000"/>
    <n v="50000"/>
    <x v="2"/>
    <n v="5"/>
  </r>
  <r>
    <n v="1063"/>
    <d v="2026-01-23T08:45:13"/>
    <s v="Pooja"/>
    <x v="5"/>
    <x v="0"/>
    <s v="Accessories"/>
    <n v="3"/>
    <n v="1500"/>
    <n v="4500"/>
    <x v="1"/>
    <n v="3"/>
  </r>
  <r>
    <n v="1064"/>
    <d v="2026-01-23T17:24:39"/>
    <s v="Suresh"/>
    <x v="0"/>
    <x v="0"/>
    <s v="Accessories"/>
    <n v="4"/>
    <n v="2000"/>
    <n v="8000"/>
    <x v="2"/>
    <n v="4"/>
  </r>
  <r>
    <n v="1065"/>
    <d v="2026-01-24T02:04:05"/>
    <s v="Sneha"/>
    <x v="5"/>
    <x v="7"/>
    <s v="Accessories"/>
    <n v="1"/>
    <n v="800"/>
    <n v="800"/>
    <x v="3"/>
    <n v="5"/>
  </r>
  <r>
    <n v="1066"/>
    <d v="2026-01-24T10:43:32"/>
    <s v="Kiran"/>
    <x v="4"/>
    <x v="3"/>
    <s v="Electronics"/>
    <n v="2"/>
    <n v="54500"/>
    <n v="109000"/>
    <x v="1"/>
    <n v="4"/>
  </r>
  <r>
    <n v="1067"/>
    <d v="2026-01-24T19:22:58"/>
    <s v="Pooja"/>
    <x v="2"/>
    <x v="3"/>
    <s v="Electronics"/>
    <n v="1"/>
    <n v="55000"/>
    <n v="55000"/>
    <x v="0"/>
    <n v="3"/>
  </r>
  <r>
    <n v="1068"/>
    <d v="2026-01-25T04:02:24"/>
    <s v="Priya"/>
    <x v="5"/>
    <x v="6"/>
    <s v="Electronics"/>
    <n v="1"/>
    <n v="25000"/>
    <n v="25000"/>
    <x v="2"/>
    <n v="4"/>
  </r>
  <r>
    <n v="1069"/>
    <d v="2026-01-25T12:41:51"/>
    <s v="Rohan"/>
    <x v="2"/>
    <x v="4"/>
    <s v="Electronics"/>
    <n v="3"/>
    <n v="12000"/>
    <n v="36000"/>
    <x v="2"/>
    <n v="4"/>
  </r>
  <r>
    <n v="1070"/>
    <d v="2026-01-25T21:21:17"/>
    <s v="Rahul"/>
    <x v="4"/>
    <x v="6"/>
    <s v="Electronics"/>
    <n v="2"/>
    <n v="25000"/>
    <n v="50000"/>
    <x v="0"/>
    <n v="4"/>
  </r>
  <r>
    <n v="1071"/>
    <d v="2026-01-26T06:00:43"/>
    <s v="Nikhil"/>
    <x v="1"/>
    <x v="5"/>
    <s v="Accessories"/>
    <n v="1"/>
    <n v="2500"/>
    <n v="2500"/>
    <x v="3"/>
    <n v="5"/>
  </r>
  <r>
    <n v="1072"/>
    <d v="2026-01-26T14:40:10"/>
    <s v="Rohan"/>
    <x v="2"/>
    <x v="6"/>
    <s v="Electronics"/>
    <n v="2"/>
    <n v="25000"/>
    <n v="50000"/>
    <x v="1"/>
    <n v="4"/>
  </r>
  <r>
    <n v="1073"/>
    <d v="2026-01-26T23:19:36"/>
    <s v="Ajay"/>
    <x v="5"/>
    <x v="2"/>
    <s v="Office Equipment"/>
    <n v="1"/>
    <n v="14500"/>
    <n v="14500"/>
    <x v="0"/>
    <n v="5"/>
  </r>
  <r>
    <n v="1074"/>
    <d v="2026-01-27T07:59:02"/>
    <s v="Meena"/>
    <x v="2"/>
    <x v="2"/>
    <s v="Office Equipment"/>
    <n v="1"/>
    <n v="14000"/>
    <n v="14000"/>
    <x v="0"/>
    <n v="4"/>
  </r>
  <r>
    <n v="1075"/>
    <d v="2026-01-27T16:38:29"/>
    <s v="Sai"/>
    <x v="1"/>
    <x v="2"/>
    <s v="Office Equipment"/>
    <n v="2"/>
    <n v="14000"/>
    <n v="28000"/>
    <x v="1"/>
    <n v="3"/>
  </r>
  <r>
    <n v="1076"/>
    <d v="2026-01-28T01:17:55"/>
    <s v="Sneha"/>
    <x v="0"/>
    <x v="0"/>
    <s v="Accessories"/>
    <n v="1"/>
    <n v="1500"/>
    <n v="1500"/>
    <x v="0"/>
    <n v="4"/>
  </r>
  <r>
    <n v="1077"/>
    <d v="2026-01-28T09:57:21"/>
    <s v="Rohan"/>
    <x v="2"/>
    <x v="7"/>
    <s v="Accessories"/>
    <n v="1"/>
    <n v="800"/>
    <n v="800"/>
    <x v="0"/>
    <n v="5"/>
  </r>
  <r>
    <n v="1078"/>
    <d v="2026-01-28T18:36:48"/>
    <s v="Anu"/>
    <x v="0"/>
    <x v="6"/>
    <s v="Electronics"/>
    <n v="1"/>
    <n v="25500"/>
    <n v="25500"/>
    <x v="0"/>
    <n v="5"/>
  </r>
  <r>
    <n v="1079"/>
    <d v="2026-01-29T03:16:14"/>
    <s v="Vamsi"/>
    <x v="5"/>
    <x v="2"/>
    <s v="Office Equipment"/>
    <n v="1"/>
    <n v="14000"/>
    <n v="14000"/>
    <x v="0"/>
    <n v="4"/>
  </r>
  <r>
    <n v="1080"/>
    <d v="2026-01-29T11:55:40"/>
    <s v="Rohan"/>
    <x v="5"/>
    <x v="1"/>
    <s v="Electronics"/>
    <n v="5"/>
    <n v="22000"/>
    <n v="110000"/>
    <x v="0"/>
    <n v="3"/>
  </r>
  <r>
    <n v="1081"/>
    <d v="2026-01-29T20:35:07"/>
    <s v="Rohan"/>
    <x v="5"/>
    <x v="3"/>
    <s v="Electronics"/>
    <n v="1"/>
    <n v="54500"/>
    <n v="54500"/>
    <x v="1"/>
    <n v="5"/>
  </r>
  <r>
    <n v="1082"/>
    <d v="2026-01-30T05:14:33"/>
    <s v="Neha"/>
    <x v="4"/>
    <x v="4"/>
    <s v="Electronics"/>
    <n v="3"/>
    <n v="12500"/>
    <n v="37500"/>
    <x v="0"/>
    <n v="4"/>
  </r>
  <r>
    <n v="1083"/>
    <d v="2026-01-30T13:53:59"/>
    <s v="Ravi"/>
    <x v="2"/>
    <x v="3"/>
    <s v="Electronics"/>
    <n v="4"/>
    <n v="55000"/>
    <n v="220000"/>
    <x v="3"/>
    <n v="3"/>
  </r>
  <r>
    <n v="1084"/>
    <d v="2026-01-30T22:33:26"/>
    <s v="Arjun"/>
    <x v="4"/>
    <x v="7"/>
    <s v="Accessories"/>
    <n v="1"/>
    <n v="800"/>
    <n v="800"/>
    <x v="0"/>
    <n v="5"/>
  </r>
  <r>
    <n v="1085"/>
    <d v="2026-01-31T07:12:52"/>
    <s v="Rohan"/>
    <x v="5"/>
    <x v="2"/>
    <s v="Office Equipment"/>
    <n v="1"/>
    <n v="14000"/>
    <n v="14000"/>
    <x v="2"/>
    <n v="5"/>
  </r>
  <r>
    <n v="1086"/>
    <d v="2026-01-31T15:52:18"/>
    <s v="Anu"/>
    <x v="0"/>
    <x v="7"/>
    <s v="Accessories"/>
    <n v="1"/>
    <n v="300"/>
    <n v="300"/>
    <x v="2"/>
    <n v="4"/>
  </r>
  <r>
    <n v="1087"/>
    <d v="2026-02-01T00:31:45"/>
    <s v="Anu"/>
    <x v="2"/>
    <x v="5"/>
    <s v="Accessories"/>
    <n v="4"/>
    <n v="2500"/>
    <n v="10000"/>
    <x v="3"/>
    <n v="4"/>
  </r>
  <r>
    <n v="1088"/>
    <d v="2026-02-01T09:11:11"/>
    <s v="Sneha"/>
    <x v="0"/>
    <x v="4"/>
    <s v="Electronics"/>
    <n v="3"/>
    <n v="12500"/>
    <n v="37500"/>
    <x v="1"/>
    <n v="4"/>
  </r>
  <r>
    <n v="1089"/>
    <d v="2026-02-01T17:50:37"/>
    <s v="Priya"/>
    <x v="5"/>
    <x v="7"/>
    <s v="Accessories"/>
    <n v="1"/>
    <n v="1300"/>
    <n v="1300"/>
    <x v="0"/>
    <n v="5"/>
  </r>
  <r>
    <n v="1090"/>
    <d v="2026-02-02T02:30:04"/>
    <s v="Kavya"/>
    <x v="4"/>
    <x v="0"/>
    <s v="Accessories"/>
    <n v="2"/>
    <n v="1500"/>
    <n v="3000"/>
    <x v="0"/>
    <n v="5"/>
  </r>
  <r>
    <n v="1091"/>
    <d v="2026-02-02T11:09:30"/>
    <s v="Arjun"/>
    <x v="4"/>
    <x v="7"/>
    <s v="Accessories"/>
    <n v="1"/>
    <n v="800"/>
    <n v="800"/>
    <x v="2"/>
    <n v="4"/>
  </r>
  <r>
    <n v="1092"/>
    <d v="2026-02-02T19:48:56"/>
    <s v="Neha"/>
    <x v="5"/>
    <x v="7"/>
    <s v="Accessories"/>
    <n v="1"/>
    <n v="800"/>
    <n v="800"/>
    <x v="0"/>
    <n v="4"/>
  </r>
  <r>
    <n v="1093"/>
    <d v="2026-02-03T04:28:23"/>
    <s v="Rohan"/>
    <x v="3"/>
    <x v="4"/>
    <s v="Electronics"/>
    <n v="1"/>
    <n v="12000"/>
    <n v="12000"/>
    <x v="0"/>
    <n v="4"/>
  </r>
  <r>
    <n v="1094"/>
    <d v="2026-02-03T13:07:49"/>
    <s v="Sai"/>
    <x v="5"/>
    <x v="3"/>
    <s v="Electronics"/>
    <n v="2"/>
    <n v="55000"/>
    <n v="110000"/>
    <x v="0"/>
    <n v="5"/>
  </r>
  <r>
    <n v="1095"/>
    <d v="2026-02-03T21:47:15"/>
    <s v="Ajay"/>
    <x v="3"/>
    <x v="3"/>
    <s v="Electronics"/>
    <n v="2"/>
    <n v="55500"/>
    <n v="111000"/>
    <x v="0"/>
    <n v="5"/>
  </r>
  <r>
    <n v="1096"/>
    <d v="2026-02-04T06:26:42"/>
    <s v="Suresh"/>
    <x v="4"/>
    <x v="4"/>
    <s v="Electronics"/>
    <n v="2"/>
    <n v="11500"/>
    <n v="23000"/>
    <x v="1"/>
    <n v="4"/>
  </r>
  <r>
    <n v="1097"/>
    <d v="2026-02-04T15:06:08"/>
    <s v="Arjun"/>
    <x v="4"/>
    <x v="4"/>
    <s v="Electronics"/>
    <n v="1"/>
    <n v="12000"/>
    <n v="12000"/>
    <x v="0"/>
    <n v="4"/>
  </r>
  <r>
    <n v="1098"/>
    <d v="2026-02-04T23:45:34"/>
    <s v="Rahul"/>
    <x v="3"/>
    <x v="0"/>
    <s v="Accessories"/>
    <n v="1"/>
    <n v="1500"/>
    <n v="1500"/>
    <x v="0"/>
    <n v="3"/>
  </r>
  <r>
    <n v="1099"/>
    <d v="2026-02-05T08:25:01"/>
    <s v="Arjun"/>
    <x v="2"/>
    <x v="1"/>
    <s v="Electronics"/>
    <n v="2"/>
    <n v="22000"/>
    <n v="44000"/>
    <x v="2"/>
    <n v="3"/>
  </r>
  <r>
    <n v="1100"/>
    <d v="2026-02-05T17:04:27"/>
    <s v="Rohan"/>
    <x v="1"/>
    <x v="4"/>
    <s v="Electronics"/>
    <n v="2"/>
    <n v="12000"/>
    <n v="24000"/>
    <x v="0"/>
    <n v="4"/>
  </r>
  <r>
    <n v="1101"/>
    <d v="2026-02-06T01:43:53"/>
    <s v="Vamsi"/>
    <x v="3"/>
    <x v="0"/>
    <s v="Accessories"/>
    <n v="2"/>
    <n v="1500"/>
    <n v="3000"/>
    <x v="2"/>
    <n v="4"/>
  </r>
  <r>
    <n v="1102"/>
    <d v="2026-02-06T10:23:20"/>
    <s v="Sneha"/>
    <x v="3"/>
    <x v="3"/>
    <s v="Electronics"/>
    <n v="1"/>
    <n v="55000"/>
    <n v="55000"/>
    <x v="0"/>
    <n v="4"/>
  </r>
  <r>
    <n v="1103"/>
    <d v="2026-02-06T19:02:46"/>
    <s v="Suresh"/>
    <x v="5"/>
    <x v="7"/>
    <s v="Accessories"/>
    <n v="3"/>
    <n v="300"/>
    <n v="900"/>
    <x v="1"/>
    <n v="3"/>
  </r>
  <r>
    <n v="1104"/>
    <d v="2026-02-07T03:42:12"/>
    <s v="Anu"/>
    <x v="3"/>
    <x v="0"/>
    <s v="Accessories"/>
    <n v="4"/>
    <n v="1500"/>
    <n v="6000"/>
    <x v="0"/>
    <n v="4"/>
  </r>
  <r>
    <n v="1105"/>
    <d v="2026-02-07T12:21:39"/>
    <s v="Divya"/>
    <x v="0"/>
    <x v="6"/>
    <s v="Electronics"/>
    <n v="4"/>
    <n v="25000"/>
    <n v="100000"/>
    <x v="0"/>
    <n v="5"/>
  </r>
  <r>
    <n v="1106"/>
    <d v="2026-02-07T21:01:05"/>
    <s v="Ravi"/>
    <x v="1"/>
    <x v="7"/>
    <s v="Accessories"/>
    <n v="1"/>
    <n v="800"/>
    <n v="800"/>
    <x v="0"/>
    <n v="3"/>
  </r>
  <r>
    <n v="1107"/>
    <d v="2026-02-08T05:40:31"/>
    <s v="Sai"/>
    <x v="1"/>
    <x v="4"/>
    <s v="Electronics"/>
    <n v="1"/>
    <n v="12000"/>
    <n v="12000"/>
    <x v="0"/>
    <n v="5"/>
  </r>
  <r>
    <n v="1108"/>
    <d v="2026-02-08T14:19:58"/>
    <s v="Neha"/>
    <x v="1"/>
    <x v="0"/>
    <s v="Accessories"/>
    <n v="1"/>
    <n v="1500"/>
    <n v="1500"/>
    <x v="0"/>
    <n v="5"/>
  </r>
  <r>
    <n v="1109"/>
    <d v="2026-02-08T22:59:24"/>
    <s v="Manoj"/>
    <x v="4"/>
    <x v="3"/>
    <s v="Electronics"/>
    <n v="1"/>
    <n v="54500"/>
    <n v="54500"/>
    <x v="2"/>
    <n v="5"/>
  </r>
  <r>
    <n v="1110"/>
    <d v="2026-02-09T07:38:50"/>
    <s v="Pooja"/>
    <x v="0"/>
    <x v="6"/>
    <s v="Electronics"/>
    <n v="1"/>
    <n v="25000"/>
    <n v="25000"/>
    <x v="0"/>
    <n v="5"/>
  </r>
  <r>
    <n v="1111"/>
    <d v="2026-02-09T16:18:17"/>
    <s v="Divya"/>
    <x v="3"/>
    <x v="2"/>
    <s v="Office Equipment"/>
    <n v="1"/>
    <n v="13500"/>
    <n v="13500"/>
    <x v="0"/>
    <n v="5"/>
  </r>
  <r>
    <n v="1112"/>
    <d v="2026-02-10T00:57:43"/>
    <s v="Arjun"/>
    <x v="5"/>
    <x v="1"/>
    <s v="Electronics"/>
    <n v="2"/>
    <n v="22000"/>
    <n v="44000"/>
    <x v="0"/>
    <n v="4"/>
  </r>
  <r>
    <n v="1113"/>
    <d v="2026-02-10T09:37:09"/>
    <s v="Neha"/>
    <x v="2"/>
    <x v="4"/>
    <s v="Electronics"/>
    <n v="4"/>
    <n v="12000"/>
    <n v="48000"/>
    <x v="2"/>
    <n v="4"/>
  </r>
  <r>
    <n v="1114"/>
    <d v="2026-02-10T18:16:36"/>
    <s v="Ravi"/>
    <x v="2"/>
    <x v="6"/>
    <s v="Electronics"/>
    <n v="3"/>
    <n v="25000"/>
    <n v="75000"/>
    <x v="0"/>
    <n v="5"/>
  </r>
  <r>
    <n v="1115"/>
    <d v="2026-02-11T02:56:02"/>
    <s v="Suresh"/>
    <x v="4"/>
    <x v="0"/>
    <s v="Accessories"/>
    <n v="2"/>
    <n v="2000"/>
    <n v="4000"/>
    <x v="2"/>
    <n v="4"/>
  </r>
  <r>
    <n v="1116"/>
    <d v="2026-02-11T11:35:28"/>
    <s v="Ajay"/>
    <x v="5"/>
    <x v="6"/>
    <s v="Electronics"/>
    <n v="2"/>
    <n v="25000"/>
    <n v="50000"/>
    <x v="2"/>
    <n v="5"/>
  </r>
  <r>
    <n v="1117"/>
    <d v="2026-02-11T20:14:55"/>
    <s v="Kiran"/>
    <x v="4"/>
    <x v="4"/>
    <s v="Electronics"/>
    <n v="5"/>
    <n v="12000"/>
    <n v="60000"/>
    <x v="3"/>
    <n v="3"/>
  </r>
  <r>
    <n v="1118"/>
    <d v="2026-02-12T04:54:21"/>
    <s v="Ravi"/>
    <x v="3"/>
    <x v="4"/>
    <s v="Electronics"/>
    <n v="3"/>
    <n v="12000"/>
    <n v="36000"/>
    <x v="3"/>
    <n v="3"/>
  </r>
  <r>
    <n v="1119"/>
    <d v="2026-02-12T13:33:47"/>
    <s v="Divya"/>
    <x v="5"/>
    <x v="1"/>
    <s v="Electronics"/>
    <n v="1"/>
    <n v="22000"/>
    <n v="22000"/>
    <x v="2"/>
    <n v="4"/>
  </r>
  <r>
    <n v="1120"/>
    <d v="2026-02-12T22:13:14"/>
    <s v="Sneha"/>
    <x v="1"/>
    <x v="6"/>
    <s v="Electronics"/>
    <n v="1"/>
    <n v="25000"/>
    <n v="25000"/>
    <x v="2"/>
    <n v="5"/>
  </r>
  <r>
    <n v="1121"/>
    <d v="2026-02-13T06:52:40"/>
    <s v="Anu"/>
    <x v="0"/>
    <x v="1"/>
    <s v="Electronics"/>
    <n v="4"/>
    <n v="22000"/>
    <n v="88000"/>
    <x v="1"/>
    <n v="4"/>
  </r>
  <r>
    <n v="1122"/>
    <d v="2026-02-13T15:32:06"/>
    <s v="Ajay"/>
    <x v="1"/>
    <x v="4"/>
    <s v="Electronics"/>
    <n v="2"/>
    <n v="12000"/>
    <n v="24000"/>
    <x v="2"/>
    <n v="3"/>
  </r>
  <r>
    <n v="1123"/>
    <d v="2026-02-14T00:11:33"/>
    <s v="Neha"/>
    <x v="2"/>
    <x v="2"/>
    <s v="Office Equipment"/>
    <n v="3"/>
    <n v="13500"/>
    <n v="40500"/>
    <x v="2"/>
    <n v="5"/>
  </r>
  <r>
    <n v="1124"/>
    <d v="2026-02-14T08:50:59"/>
    <s v="Sai"/>
    <x v="2"/>
    <x v="5"/>
    <s v="Accessories"/>
    <n v="2"/>
    <n v="3000"/>
    <n v="6000"/>
    <x v="0"/>
    <n v="5"/>
  </r>
  <r>
    <n v="1125"/>
    <d v="2026-02-14T17:30:25"/>
    <s v="Suresh"/>
    <x v="5"/>
    <x v="1"/>
    <s v="Electronics"/>
    <n v="1"/>
    <n v="22500"/>
    <n v="22500"/>
    <x v="0"/>
    <n v="5"/>
  </r>
  <r>
    <n v="1126"/>
    <d v="2026-02-15T02:09:52"/>
    <s v="Arjun"/>
    <x v="1"/>
    <x v="7"/>
    <s v="Accessories"/>
    <n v="3"/>
    <n v="800"/>
    <n v="2400"/>
    <x v="2"/>
    <n v="5"/>
  </r>
  <r>
    <n v="1127"/>
    <d v="2026-02-15T10:49:18"/>
    <s v="Rohan"/>
    <x v="4"/>
    <x v="0"/>
    <s v="Accessories"/>
    <n v="1"/>
    <n v="1500"/>
    <n v="1500"/>
    <x v="0"/>
    <n v="5"/>
  </r>
  <r>
    <n v="1128"/>
    <d v="2026-02-15T19:28:44"/>
    <s v="Ravi"/>
    <x v="2"/>
    <x v="7"/>
    <s v="Accessories"/>
    <n v="2"/>
    <n v="800"/>
    <n v="1600"/>
    <x v="3"/>
    <n v="4"/>
  </r>
  <r>
    <n v="1129"/>
    <d v="2026-02-16T04:08:11"/>
    <s v="Rohan"/>
    <x v="1"/>
    <x v="7"/>
    <s v="Accessories"/>
    <n v="1"/>
    <n v="800"/>
    <n v="800"/>
    <x v="2"/>
    <n v="5"/>
  </r>
  <r>
    <n v="1130"/>
    <d v="2026-02-16T12:47:37"/>
    <s v="Rahul"/>
    <x v="2"/>
    <x v="1"/>
    <s v="Electronics"/>
    <n v="2"/>
    <n v="22000"/>
    <n v="44000"/>
    <x v="0"/>
    <n v="4"/>
  </r>
  <r>
    <n v="1131"/>
    <d v="2026-02-16T21:27:03"/>
    <s v="Rohan"/>
    <x v="5"/>
    <x v="5"/>
    <s v="Accessories"/>
    <n v="3"/>
    <n v="2500"/>
    <n v="7500"/>
    <x v="0"/>
    <n v="5"/>
  </r>
  <r>
    <n v="1132"/>
    <d v="2026-02-17T06:06:30"/>
    <s v="Meena"/>
    <x v="0"/>
    <x v="4"/>
    <s v="Electronics"/>
    <n v="1"/>
    <n v="12000"/>
    <n v="12000"/>
    <x v="2"/>
    <n v="4"/>
  </r>
  <r>
    <n v="1133"/>
    <d v="2026-02-17T14:45:56"/>
    <s v="Divya"/>
    <x v="5"/>
    <x v="5"/>
    <s v="Accessories"/>
    <n v="3"/>
    <n v="2500"/>
    <n v="7500"/>
    <x v="0"/>
    <n v="5"/>
  </r>
  <r>
    <n v="1134"/>
    <d v="2026-02-17T23:25:22"/>
    <s v="Ravi"/>
    <x v="1"/>
    <x v="7"/>
    <s v="Accessories"/>
    <n v="3"/>
    <n v="800"/>
    <n v="2400"/>
    <x v="3"/>
    <n v="5"/>
  </r>
  <r>
    <n v="1135"/>
    <d v="2026-02-18T08:04:49"/>
    <s v="Divya"/>
    <x v="3"/>
    <x v="0"/>
    <s v="Accessories"/>
    <n v="2"/>
    <n v="1500"/>
    <n v="3000"/>
    <x v="0"/>
    <n v="5"/>
  </r>
  <r>
    <n v="1136"/>
    <d v="2026-02-18T16:44:15"/>
    <s v="Arjun"/>
    <x v="3"/>
    <x v="1"/>
    <s v="Electronics"/>
    <n v="2"/>
    <n v="22000"/>
    <n v="44000"/>
    <x v="2"/>
    <n v="5"/>
  </r>
  <r>
    <n v="1137"/>
    <d v="2026-02-19T01:23:41"/>
    <s v="Lakshmi"/>
    <x v="0"/>
    <x v="2"/>
    <s v="Office Equipment"/>
    <n v="4"/>
    <n v="14000"/>
    <n v="56000"/>
    <x v="0"/>
    <n v="3"/>
  </r>
  <r>
    <n v="1138"/>
    <d v="2026-02-19T10:03:08"/>
    <s v="Sneha"/>
    <x v="5"/>
    <x v="7"/>
    <s v="Accessories"/>
    <n v="1"/>
    <n v="800"/>
    <n v="800"/>
    <x v="2"/>
    <n v="5"/>
  </r>
  <r>
    <n v="1139"/>
    <d v="2026-02-19T18:42:34"/>
    <s v="Priya"/>
    <x v="4"/>
    <x v="1"/>
    <s v="Electronics"/>
    <n v="1"/>
    <n v="22000"/>
    <n v="22000"/>
    <x v="2"/>
    <n v="4"/>
  </r>
  <r>
    <n v="1140"/>
    <d v="2026-02-20T03:22:00"/>
    <s v="Priya"/>
    <x v="5"/>
    <x v="4"/>
    <s v="Electronics"/>
    <n v="1"/>
    <n v="12000"/>
    <n v="12000"/>
    <x v="0"/>
    <n v="5"/>
  </r>
  <r>
    <n v="1141"/>
    <d v="2026-02-20T12:01:27"/>
    <s v="Lakshmi"/>
    <x v="2"/>
    <x v="6"/>
    <s v="Electronics"/>
    <n v="1"/>
    <n v="25000"/>
    <n v="25000"/>
    <x v="2"/>
    <n v="4"/>
  </r>
  <r>
    <n v="1142"/>
    <d v="2026-02-20T20:40:53"/>
    <s v="Manoj"/>
    <x v="3"/>
    <x v="6"/>
    <s v="Electronics"/>
    <n v="2"/>
    <n v="25000"/>
    <n v="50000"/>
    <x v="2"/>
    <n v="4"/>
  </r>
  <r>
    <n v="1143"/>
    <d v="2026-02-21T05:20:19"/>
    <s v="Kiran"/>
    <x v="4"/>
    <x v="3"/>
    <s v="Electronics"/>
    <n v="4"/>
    <n v="55000"/>
    <n v="220000"/>
    <x v="3"/>
    <n v="4"/>
  </r>
  <r>
    <n v="1144"/>
    <d v="2026-02-21T13:59:46"/>
    <s v="Kiran"/>
    <x v="2"/>
    <x v="1"/>
    <s v="Electronics"/>
    <n v="2"/>
    <n v="21500"/>
    <n v="43000"/>
    <x v="2"/>
    <n v="5"/>
  </r>
  <r>
    <n v="1145"/>
    <d v="2026-02-21T22:39:12"/>
    <s v="Anu"/>
    <x v="4"/>
    <x v="3"/>
    <s v="Electronics"/>
    <n v="1"/>
    <n v="55000"/>
    <n v="55000"/>
    <x v="2"/>
    <n v="5"/>
  </r>
  <r>
    <n v="1146"/>
    <d v="2026-02-22T07:18:38"/>
    <s v="Lakshmi"/>
    <x v="0"/>
    <x v="6"/>
    <s v="Electronics"/>
    <n v="1"/>
    <n v="25500"/>
    <n v="25500"/>
    <x v="0"/>
    <n v="5"/>
  </r>
  <r>
    <n v="1147"/>
    <d v="2026-02-22T15:58:05"/>
    <s v="Sai"/>
    <x v="4"/>
    <x v="3"/>
    <s v="Electronics"/>
    <n v="2"/>
    <n v="55000"/>
    <n v="110000"/>
    <x v="0"/>
    <n v="5"/>
  </r>
  <r>
    <n v="1148"/>
    <d v="2026-02-23T00:37:31"/>
    <s v="Ajay"/>
    <x v="3"/>
    <x v="7"/>
    <s v="Accessories"/>
    <n v="2"/>
    <n v="800"/>
    <n v="1600"/>
    <x v="0"/>
    <n v="4"/>
  </r>
  <r>
    <n v="1149"/>
    <d v="2026-02-23T09:16:57"/>
    <s v="Nikhil"/>
    <x v="4"/>
    <x v="7"/>
    <s v="Accessories"/>
    <n v="2"/>
    <n v="800"/>
    <n v="1600"/>
    <x v="3"/>
    <n v="5"/>
  </r>
  <r>
    <n v="1150"/>
    <d v="2026-02-23T17:56:24"/>
    <s v="Manoj"/>
    <x v="2"/>
    <x v="3"/>
    <s v="Electronics"/>
    <n v="2"/>
    <n v="55000"/>
    <n v="110000"/>
    <x v="0"/>
    <n v="4"/>
  </r>
  <r>
    <n v="1151"/>
    <d v="2026-02-24T02:35:50"/>
    <s v="Arjun"/>
    <x v="4"/>
    <x v="6"/>
    <s v="Electronics"/>
    <n v="2"/>
    <n v="25000"/>
    <n v="50000"/>
    <x v="0"/>
    <n v="2"/>
  </r>
  <r>
    <n v="1152"/>
    <d v="2026-02-24T11:15:16"/>
    <s v="Kiran"/>
    <x v="1"/>
    <x v="2"/>
    <s v="Office Equipment"/>
    <n v="1"/>
    <n v="14000"/>
    <n v="14000"/>
    <x v="3"/>
    <n v="5"/>
  </r>
  <r>
    <n v="1153"/>
    <d v="2026-02-24T19:54:43"/>
    <s v="Pooja"/>
    <x v="3"/>
    <x v="6"/>
    <s v="Electronics"/>
    <n v="2"/>
    <n v="25000"/>
    <n v="50000"/>
    <x v="1"/>
    <n v="5"/>
  </r>
  <r>
    <n v="1154"/>
    <d v="2026-02-25T04:34:09"/>
    <s v="Kavya"/>
    <x v="3"/>
    <x v="4"/>
    <s v="Electronics"/>
    <n v="2"/>
    <n v="12000"/>
    <n v="24000"/>
    <x v="1"/>
    <n v="5"/>
  </r>
  <r>
    <n v="1155"/>
    <d v="2026-02-25T13:13:35"/>
    <s v="Ajay"/>
    <x v="0"/>
    <x v="4"/>
    <s v="Electronics"/>
    <n v="2"/>
    <n v="11500"/>
    <n v="23000"/>
    <x v="2"/>
    <n v="5"/>
  </r>
  <r>
    <n v="1156"/>
    <d v="2026-02-25T21:53:02"/>
    <s v="Ajay"/>
    <x v="5"/>
    <x v="4"/>
    <s v="Electronics"/>
    <n v="1"/>
    <n v="12000"/>
    <n v="12000"/>
    <x v="2"/>
    <n v="4"/>
  </r>
  <r>
    <n v="1157"/>
    <d v="2026-02-26T06:32:28"/>
    <s v="Nikhil"/>
    <x v="4"/>
    <x v="3"/>
    <s v="Electronics"/>
    <n v="1"/>
    <n v="55000"/>
    <n v="55000"/>
    <x v="0"/>
    <n v="5"/>
  </r>
  <r>
    <n v="1158"/>
    <d v="2026-02-26T15:11:54"/>
    <s v="Vamsi"/>
    <x v="0"/>
    <x v="3"/>
    <s v="Electronics"/>
    <n v="2"/>
    <n v="55000"/>
    <n v="110000"/>
    <x v="1"/>
    <n v="4"/>
  </r>
  <r>
    <n v="1159"/>
    <d v="2026-02-26T23:51:21"/>
    <s v="Rohan"/>
    <x v="1"/>
    <x v="5"/>
    <s v="Accessories"/>
    <n v="1"/>
    <n v="2500"/>
    <n v="2500"/>
    <x v="3"/>
    <n v="4"/>
  </r>
  <r>
    <n v="1160"/>
    <d v="2026-02-27T08:30:47"/>
    <s v="Priya"/>
    <x v="4"/>
    <x v="4"/>
    <s v="Electronics"/>
    <n v="3"/>
    <n v="12000"/>
    <n v="36000"/>
    <x v="1"/>
    <n v="2"/>
  </r>
  <r>
    <n v="1161"/>
    <d v="2026-02-27T17:10:13"/>
    <s v="Arjun"/>
    <x v="4"/>
    <x v="1"/>
    <s v="Electronics"/>
    <n v="2"/>
    <n v="22500"/>
    <n v="45000"/>
    <x v="1"/>
    <n v="4"/>
  </r>
  <r>
    <n v="1162"/>
    <d v="2026-02-28T01:49:40"/>
    <s v="Kavya"/>
    <x v="1"/>
    <x v="6"/>
    <s v="Electronics"/>
    <n v="1"/>
    <n v="25000"/>
    <n v="25000"/>
    <x v="1"/>
    <n v="5"/>
  </r>
  <r>
    <n v="1163"/>
    <d v="2026-02-28T10:29:06"/>
    <s v="Rohan"/>
    <x v="4"/>
    <x v="0"/>
    <s v="Accessories"/>
    <n v="1"/>
    <n v="1500"/>
    <n v="1500"/>
    <x v="2"/>
    <n v="4"/>
  </r>
  <r>
    <n v="1164"/>
    <d v="2026-02-28T19:08:32"/>
    <s v="Kavya"/>
    <x v="2"/>
    <x v="1"/>
    <s v="Electronics"/>
    <n v="2"/>
    <n v="22000"/>
    <n v="44000"/>
    <x v="1"/>
    <n v="3"/>
  </r>
  <r>
    <n v="1165"/>
    <d v="2026-03-01T03:47:59"/>
    <s v="Kiran"/>
    <x v="5"/>
    <x v="3"/>
    <s v="Electronics"/>
    <n v="1"/>
    <n v="55000"/>
    <n v="55000"/>
    <x v="0"/>
    <n v="5"/>
  </r>
  <r>
    <n v="1166"/>
    <d v="2026-03-01T12:27:25"/>
    <s v="Vamsi"/>
    <x v="0"/>
    <x v="2"/>
    <s v="Office Equipment"/>
    <n v="3"/>
    <n v="14000"/>
    <n v="42000"/>
    <x v="0"/>
    <n v="5"/>
  </r>
  <r>
    <n v="1167"/>
    <d v="2026-03-01T21:06:51"/>
    <s v="Suresh"/>
    <x v="5"/>
    <x v="7"/>
    <s v="Accessories"/>
    <n v="4"/>
    <n v="800"/>
    <n v="3200"/>
    <x v="0"/>
    <n v="3"/>
  </r>
  <r>
    <n v="1168"/>
    <d v="2026-03-02T05:46:18"/>
    <s v="Anu"/>
    <x v="5"/>
    <x v="0"/>
    <s v="Accessories"/>
    <n v="1"/>
    <n v="2000"/>
    <n v="2000"/>
    <x v="0"/>
    <n v="5"/>
  </r>
  <r>
    <n v="1169"/>
    <d v="2026-03-02T14:25:44"/>
    <s v="Neha"/>
    <x v="4"/>
    <x v="1"/>
    <s v="Electronics"/>
    <n v="4"/>
    <n v="22500"/>
    <n v="90000"/>
    <x v="3"/>
    <n v="5"/>
  </r>
  <r>
    <n v="1170"/>
    <d v="2026-03-02T23:05:10"/>
    <s v="Ajay"/>
    <x v="2"/>
    <x v="3"/>
    <s v="Electronics"/>
    <n v="3"/>
    <n v="55000"/>
    <n v="165000"/>
    <x v="2"/>
    <n v="5"/>
  </r>
  <r>
    <n v="1171"/>
    <d v="2026-03-03T07:44:37"/>
    <s v="Manoj"/>
    <x v="4"/>
    <x v="3"/>
    <s v="Electronics"/>
    <n v="3"/>
    <n v="55000"/>
    <n v="165000"/>
    <x v="1"/>
    <n v="5"/>
  </r>
  <r>
    <n v="1172"/>
    <d v="2026-03-03T16:24:03"/>
    <s v="Priya"/>
    <x v="1"/>
    <x v="1"/>
    <s v="Electronics"/>
    <n v="2"/>
    <n v="22000"/>
    <n v="44000"/>
    <x v="0"/>
    <n v="4"/>
  </r>
  <r>
    <n v="1173"/>
    <d v="2026-03-04T01:03:29"/>
    <s v="Kavya"/>
    <x v="5"/>
    <x v="6"/>
    <s v="Electronics"/>
    <n v="2"/>
    <n v="24500"/>
    <n v="49000"/>
    <x v="1"/>
    <n v="5"/>
  </r>
  <r>
    <n v="1174"/>
    <d v="2026-03-04T09:42:56"/>
    <s v="Suresh"/>
    <x v="0"/>
    <x v="3"/>
    <s v="Electronics"/>
    <n v="3"/>
    <n v="55000"/>
    <n v="165000"/>
    <x v="2"/>
    <n v="5"/>
  </r>
  <r>
    <n v="1175"/>
    <d v="2026-03-04T18:22:22"/>
    <s v="Suresh"/>
    <x v="1"/>
    <x v="4"/>
    <s v="Electronics"/>
    <n v="3"/>
    <n v="12000"/>
    <n v="36000"/>
    <x v="3"/>
    <n v="5"/>
  </r>
  <r>
    <n v="1176"/>
    <d v="2026-03-05T03:01:48"/>
    <s v="Neha"/>
    <x v="1"/>
    <x v="6"/>
    <s v="Electronics"/>
    <n v="3"/>
    <n v="25000"/>
    <n v="75000"/>
    <x v="2"/>
    <n v="5"/>
  </r>
  <r>
    <n v="1177"/>
    <d v="2026-03-05T11:41:15"/>
    <s v="Suresh"/>
    <x v="0"/>
    <x v="3"/>
    <s v="Electronics"/>
    <n v="3"/>
    <n v="55000"/>
    <n v="165000"/>
    <x v="0"/>
    <n v="4"/>
  </r>
  <r>
    <n v="1178"/>
    <d v="2026-03-05T20:20:41"/>
    <s v="Lakshmi"/>
    <x v="5"/>
    <x v="6"/>
    <s v="Electronics"/>
    <n v="1"/>
    <n v="25000"/>
    <n v="25000"/>
    <x v="2"/>
    <n v="2"/>
  </r>
  <r>
    <n v="1179"/>
    <d v="2026-03-06T05:00:07"/>
    <s v="Rohan"/>
    <x v="0"/>
    <x v="7"/>
    <s v="Accessories"/>
    <n v="2"/>
    <n v="1300"/>
    <n v="2600"/>
    <x v="2"/>
    <n v="4"/>
  </r>
  <r>
    <n v="1180"/>
    <d v="2026-03-06T13:39:34"/>
    <s v="Neha"/>
    <x v="2"/>
    <x v="6"/>
    <s v="Electronics"/>
    <n v="1"/>
    <n v="25000"/>
    <n v="25000"/>
    <x v="1"/>
    <n v="4"/>
  </r>
  <r>
    <n v="1181"/>
    <d v="2026-03-06T22:19:00"/>
    <s v="Sneha"/>
    <x v="1"/>
    <x v="4"/>
    <s v="Electronics"/>
    <n v="4"/>
    <n v="12000"/>
    <n v="48000"/>
    <x v="2"/>
    <n v="3"/>
  </r>
  <r>
    <n v="1182"/>
    <d v="2026-03-07T06:58:26"/>
    <s v="Neha"/>
    <x v="3"/>
    <x v="0"/>
    <s v="Accessories"/>
    <n v="2"/>
    <n v="1000"/>
    <n v="2000"/>
    <x v="0"/>
    <n v="5"/>
  </r>
  <r>
    <n v="1183"/>
    <d v="2026-03-07T15:37:53"/>
    <s v="Pooja"/>
    <x v="1"/>
    <x v="3"/>
    <s v="Electronics"/>
    <n v="3"/>
    <n v="55500"/>
    <n v="166500"/>
    <x v="2"/>
    <n v="5"/>
  </r>
  <r>
    <n v="1184"/>
    <d v="2026-03-08T00:17:19"/>
    <s v="Ajay"/>
    <x v="4"/>
    <x v="0"/>
    <s v="Accessories"/>
    <n v="1"/>
    <n v="1500"/>
    <n v="1500"/>
    <x v="0"/>
    <n v="2"/>
  </r>
  <r>
    <n v="1185"/>
    <d v="2026-03-08T08:56:45"/>
    <s v="Arjun"/>
    <x v="5"/>
    <x v="3"/>
    <s v="Electronics"/>
    <n v="1"/>
    <n v="55500"/>
    <n v="55500"/>
    <x v="3"/>
    <n v="4"/>
  </r>
  <r>
    <n v="1186"/>
    <d v="2026-03-08T17:36:12"/>
    <s v="Ajay"/>
    <x v="3"/>
    <x v="1"/>
    <s v="Electronics"/>
    <n v="1"/>
    <n v="22000"/>
    <n v="22000"/>
    <x v="0"/>
    <n v="3"/>
  </r>
  <r>
    <n v="1187"/>
    <d v="2026-03-09T02:15:38"/>
    <s v="Ajay"/>
    <x v="5"/>
    <x v="1"/>
    <s v="Electronics"/>
    <n v="4"/>
    <n v="21500"/>
    <n v="86000"/>
    <x v="2"/>
    <n v="4"/>
  </r>
  <r>
    <n v="1188"/>
    <d v="2026-03-09T10:55:04"/>
    <s v="Anu"/>
    <x v="0"/>
    <x v="7"/>
    <s v="Accessories"/>
    <n v="5"/>
    <n v="800"/>
    <n v="4000"/>
    <x v="0"/>
    <n v="3"/>
  </r>
  <r>
    <n v="1189"/>
    <d v="2026-03-09T19:34:31"/>
    <s v="Kavya"/>
    <x v="4"/>
    <x v="4"/>
    <s v="Electronics"/>
    <n v="1"/>
    <n v="12000"/>
    <n v="12000"/>
    <x v="1"/>
    <n v="4"/>
  </r>
  <r>
    <n v="1190"/>
    <d v="2026-03-10T04:13:57"/>
    <s v="Lakshmi"/>
    <x v="0"/>
    <x v="1"/>
    <s v="Electronics"/>
    <n v="3"/>
    <n v="22000"/>
    <n v="66000"/>
    <x v="3"/>
    <n v="5"/>
  </r>
  <r>
    <n v="1191"/>
    <d v="2026-03-10T12:53:23"/>
    <s v="Arjun"/>
    <x v="1"/>
    <x v="3"/>
    <s v="Electronics"/>
    <n v="1"/>
    <n v="55500"/>
    <n v="55500"/>
    <x v="3"/>
    <n v="4"/>
  </r>
  <r>
    <n v="1192"/>
    <d v="2026-03-10T21:32:50"/>
    <s v="Sneha"/>
    <x v="2"/>
    <x v="3"/>
    <s v="Electronics"/>
    <n v="1"/>
    <n v="55000"/>
    <n v="55000"/>
    <x v="0"/>
    <n v="4"/>
  </r>
  <r>
    <n v="1193"/>
    <d v="2026-03-11T06:12:16"/>
    <s v="Divya"/>
    <x v="4"/>
    <x v="3"/>
    <s v="Electronics"/>
    <n v="2"/>
    <n v="55000"/>
    <n v="110000"/>
    <x v="1"/>
    <n v="3"/>
  </r>
  <r>
    <n v="1194"/>
    <d v="2026-03-11T14:51:42"/>
    <s v="Ajay"/>
    <x v="3"/>
    <x v="5"/>
    <s v="Accessories"/>
    <n v="2"/>
    <n v="2500"/>
    <n v="5000"/>
    <x v="0"/>
    <n v="5"/>
  </r>
  <r>
    <n v="1195"/>
    <d v="2026-03-11T23:31:09"/>
    <s v="Suresh"/>
    <x v="2"/>
    <x v="1"/>
    <s v="Electronics"/>
    <n v="3"/>
    <n v="21500"/>
    <n v="64500"/>
    <x v="0"/>
    <n v="5"/>
  </r>
  <r>
    <n v="1196"/>
    <d v="2026-03-12T08:10:35"/>
    <s v="Nikhil"/>
    <x v="2"/>
    <x v="3"/>
    <s v="Electronics"/>
    <n v="2"/>
    <n v="55000"/>
    <n v="110000"/>
    <x v="2"/>
    <n v="2"/>
  </r>
  <r>
    <n v="1197"/>
    <d v="2026-03-12T16:50:01"/>
    <s v="Vamsi"/>
    <x v="3"/>
    <x v="0"/>
    <s v="Accessories"/>
    <n v="2"/>
    <n v="1000"/>
    <n v="2000"/>
    <x v="0"/>
    <n v="3"/>
  </r>
  <r>
    <n v="1198"/>
    <d v="2026-03-13T01:29:28"/>
    <s v="Lakshmi"/>
    <x v="0"/>
    <x v="0"/>
    <s v="Accessories"/>
    <n v="1"/>
    <n v="1500"/>
    <n v="1500"/>
    <x v="3"/>
    <n v="4"/>
  </r>
  <r>
    <n v="1199"/>
    <d v="2026-03-13T10:08:54"/>
    <s v="Arjun"/>
    <x v="4"/>
    <x v="7"/>
    <s v="Accessories"/>
    <n v="1"/>
    <n v="800"/>
    <n v="800"/>
    <x v="0"/>
    <n v="5"/>
  </r>
  <r>
    <n v="1200"/>
    <d v="2026-03-13T18:48:20"/>
    <s v="Divya"/>
    <x v="0"/>
    <x v="3"/>
    <s v="Electronics"/>
    <n v="2"/>
    <n v="55000"/>
    <n v="110000"/>
    <x v="2"/>
    <n v="5"/>
  </r>
  <r>
    <n v="1201"/>
    <d v="2026-03-14T03:27:47"/>
    <s v="Kavya"/>
    <x v="1"/>
    <x v="4"/>
    <s v="Electronics"/>
    <n v="2"/>
    <n v="12000"/>
    <n v="24000"/>
    <x v="2"/>
    <n v="5"/>
  </r>
  <r>
    <n v="1202"/>
    <d v="2026-03-14T12:07:13"/>
    <s v="Lakshmi"/>
    <x v="4"/>
    <x v="5"/>
    <s v="Accessories"/>
    <n v="1"/>
    <n v="2500"/>
    <n v="2500"/>
    <x v="2"/>
    <n v="5"/>
  </r>
  <r>
    <n v="1203"/>
    <d v="2026-03-14T20:46:39"/>
    <s v="Suresh"/>
    <x v="3"/>
    <x v="4"/>
    <s v="Electronics"/>
    <n v="1"/>
    <n v="12000"/>
    <n v="12000"/>
    <x v="0"/>
    <n v="4"/>
  </r>
  <r>
    <n v="1204"/>
    <d v="2026-03-15T05:26:06"/>
    <s v="Meena"/>
    <x v="3"/>
    <x v="6"/>
    <s v="Electronics"/>
    <n v="2"/>
    <n v="25000"/>
    <n v="50000"/>
    <x v="2"/>
    <n v="4"/>
  </r>
  <r>
    <n v="1205"/>
    <d v="2026-03-15T14:05:32"/>
    <s v="Neha"/>
    <x v="4"/>
    <x v="2"/>
    <s v="Office Equipment"/>
    <n v="5"/>
    <n v="14000"/>
    <n v="70000"/>
    <x v="2"/>
    <n v="3"/>
  </r>
  <r>
    <n v="1206"/>
    <d v="2026-03-15T22:44:58"/>
    <s v="Nikhil"/>
    <x v="5"/>
    <x v="3"/>
    <s v="Electronics"/>
    <n v="1"/>
    <n v="55000"/>
    <n v="55000"/>
    <x v="0"/>
    <n v="4"/>
  </r>
  <r>
    <n v="1207"/>
    <d v="2026-03-16T07:24:25"/>
    <s v="Manoj"/>
    <x v="1"/>
    <x v="2"/>
    <s v="Office Equipment"/>
    <n v="1"/>
    <n v="14000"/>
    <n v="14000"/>
    <x v="0"/>
    <n v="4"/>
  </r>
  <r>
    <n v="1208"/>
    <d v="2026-03-16T16:03:51"/>
    <s v="Rahul"/>
    <x v="0"/>
    <x v="4"/>
    <s v="Electronics"/>
    <n v="2"/>
    <n v="12000"/>
    <n v="24000"/>
    <x v="1"/>
    <n v="4"/>
  </r>
  <r>
    <n v="1209"/>
    <d v="2026-03-17T00:43:17"/>
    <s v="Ajay"/>
    <x v="2"/>
    <x v="0"/>
    <s v="Accessories"/>
    <n v="1"/>
    <n v="1500"/>
    <n v="1500"/>
    <x v="0"/>
    <n v="5"/>
  </r>
  <r>
    <n v="1210"/>
    <d v="2026-03-17T09:22:44"/>
    <s v="Lakshmi"/>
    <x v="0"/>
    <x v="2"/>
    <s v="Office Equipment"/>
    <n v="1"/>
    <n v="14000"/>
    <n v="14000"/>
    <x v="0"/>
    <n v="5"/>
  </r>
  <r>
    <n v="1211"/>
    <d v="2026-03-17T18:02:10"/>
    <s v="Ajay"/>
    <x v="3"/>
    <x v="5"/>
    <s v="Accessories"/>
    <n v="1"/>
    <n v="2500"/>
    <n v="2500"/>
    <x v="2"/>
    <n v="4"/>
  </r>
  <r>
    <n v="1212"/>
    <d v="2026-03-18T02:41:36"/>
    <s v="Priya"/>
    <x v="4"/>
    <x v="4"/>
    <s v="Electronics"/>
    <n v="1"/>
    <n v="12000"/>
    <n v="12000"/>
    <x v="2"/>
    <n v="4"/>
  </r>
  <r>
    <n v="1213"/>
    <d v="2026-03-18T11:21:03"/>
    <s v="Ajay"/>
    <x v="4"/>
    <x v="6"/>
    <s v="Electronics"/>
    <n v="1"/>
    <n v="25500"/>
    <n v="25500"/>
    <x v="1"/>
    <n v="4"/>
  </r>
  <r>
    <n v="1214"/>
    <d v="2026-03-18T20:00:29"/>
    <s v="Manoj"/>
    <x v="2"/>
    <x v="0"/>
    <s v="Accessories"/>
    <n v="1"/>
    <n v="1500"/>
    <n v="1500"/>
    <x v="2"/>
    <n v="5"/>
  </r>
  <r>
    <n v="1215"/>
    <d v="2026-03-19T04:39:55"/>
    <s v="Sai"/>
    <x v="5"/>
    <x v="2"/>
    <s v="Office Equipment"/>
    <n v="1"/>
    <n v="14000"/>
    <n v="14000"/>
    <x v="0"/>
    <n v="4"/>
  </r>
  <r>
    <n v="1216"/>
    <d v="2026-03-19T13:19:22"/>
    <s v="Ajay"/>
    <x v="3"/>
    <x v="6"/>
    <s v="Electronics"/>
    <n v="2"/>
    <n v="25000"/>
    <n v="50000"/>
    <x v="0"/>
    <n v="3"/>
  </r>
  <r>
    <n v="1217"/>
    <d v="2026-03-19T21:58:48"/>
    <s v="Nikhil"/>
    <x v="0"/>
    <x v="7"/>
    <s v="Accessories"/>
    <n v="1"/>
    <n v="800"/>
    <n v="800"/>
    <x v="0"/>
    <n v="3"/>
  </r>
  <r>
    <n v="1218"/>
    <d v="2026-03-20T06:38:14"/>
    <s v="Rohan"/>
    <x v="4"/>
    <x v="5"/>
    <s v="Accessories"/>
    <n v="4"/>
    <n v="2500"/>
    <n v="10000"/>
    <x v="0"/>
    <n v="3"/>
  </r>
  <r>
    <n v="1219"/>
    <d v="2026-03-20T15:17:41"/>
    <s v="Priya"/>
    <x v="2"/>
    <x v="2"/>
    <s v="Office Equipment"/>
    <n v="4"/>
    <n v="13500"/>
    <n v="54000"/>
    <x v="2"/>
    <n v="5"/>
  </r>
  <r>
    <n v="1220"/>
    <d v="2026-03-20T23:57:07"/>
    <s v="Pooja"/>
    <x v="3"/>
    <x v="5"/>
    <s v="Accessories"/>
    <n v="2"/>
    <n v="2500"/>
    <n v="5000"/>
    <x v="0"/>
    <n v="2"/>
  </r>
  <r>
    <n v="1221"/>
    <d v="2026-03-21T08:36:33"/>
    <s v="Divya"/>
    <x v="0"/>
    <x v="0"/>
    <s v="Accessories"/>
    <n v="2"/>
    <n v="1500"/>
    <n v="3000"/>
    <x v="0"/>
    <n v="5"/>
  </r>
  <r>
    <n v="1222"/>
    <d v="2026-03-21T17:16:00"/>
    <s v="Ajay"/>
    <x v="0"/>
    <x v="3"/>
    <s v="Electronics"/>
    <n v="1"/>
    <n v="55500"/>
    <n v="55500"/>
    <x v="2"/>
    <n v="5"/>
  </r>
  <r>
    <n v="1223"/>
    <d v="2026-03-22T01:55:26"/>
    <s v="Divya"/>
    <x v="2"/>
    <x v="0"/>
    <s v="Accessories"/>
    <n v="1"/>
    <n v="1500"/>
    <n v="1500"/>
    <x v="0"/>
    <n v="5"/>
  </r>
  <r>
    <n v="1224"/>
    <d v="2026-03-22T10:34:52"/>
    <s v="Kavya"/>
    <x v="3"/>
    <x v="6"/>
    <s v="Electronics"/>
    <n v="2"/>
    <n v="25000"/>
    <n v="50000"/>
    <x v="0"/>
    <n v="5"/>
  </r>
  <r>
    <n v="1225"/>
    <d v="2026-03-22T19:14:19"/>
    <s v="Anu"/>
    <x v="2"/>
    <x v="3"/>
    <s v="Electronics"/>
    <n v="2"/>
    <n v="55500"/>
    <n v="111000"/>
    <x v="1"/>
    <n v="5"/>
  </r>
  <r>
    <n v="1226"/>
    <d v="2026-03-23T03:53:45"/>
    <s v="Sai"/>
    <x v="1"/>
    <x v="6"/>
    <s v="Electronics"/>
    <n v="1"/>
    <n v="25000"/>
    <n v="25000"/>
    <x v="2"/>
    <n v="5"/>
  </r>
  <r>
    <n v="1227"/>
    <d v="2026-03-23T12:33:11"/>
    <s v="Vamsi"/>
    <x v="2"/>
    <x v="2"/>
    <s v="Office Equipment"/>
    <n v="1"/>
    <n v="14500"/>
    <n v="14500"/>
    <x v="0"/>
    <n v="5"/>
  </r>
  <r>
    <n v="1228"/>
    <d v="2026-03-23T21:12:38"/>
    <s v="Ajay"/>
    <x v="2"/>
    <x v="0"/>
    <s v="Accessories"/>
    <n v="1"/>
    <n v="1500"/>
    <n v="1500"/>
    <x v="0"/>
    <n v="4"/>
  </r>
  <r>
    <n v="1229"/>
    <d v="2026-03-24T05:52:04"/>
    <s v="Rohan"/>
    <x v="2"/>
    <x v="6"/>
    <s v="Electronics"/>
    <n v="1"/>
    <n v="25000"/>
    <n v="25000"/>
    <x v="2"/>
    <n v="2"/>
  </r>
  <r>
    <n v="1230"/>
    <d v="2026-03-24T14:31:30"/>
    <s v="Priya"/>
    <x v="3"/>
    <x v="4"/>
    <s v="Electronics"/>
    <n v="1"/>
    <n v="12000"/>
    <n v="12000"/>
    <x v="2"/>
    <n v="4"/>
  </r>
  <r>
    <n v="1231"/>
    <d v="2026-03-24T23:10:57"/>
    <s v="Pooja"/>
    <x v="5"/>
    <x v="2"/>
    <s v="Office Equipment"/>
    <n v="3"/>
    <n v="14500"/>
    <n v="43500"/>
    <x v="0"/>
    <n v="5"/>
  </r>
  <r>
    <n v="1232"/>
    <d v="2026-03-25T07:50:23"/>
    <s v="Anu"/>
    <x v="3"/>
    <x v="4"/>
    <s v="Electronics"/>
    <n v="2"/>
    <n v="12000"/>
    <n v="24000"/>
    <x v="2"/>
    <n v="5"/>
  </r>
  <r>
    <n v="1233"/>
    <d v="2026-03-25T16:29:49"/>
    <s v="Ajay"/>
    <x v="5"/>
    <x v="3"/>
    <s v="Electronics"/>
    <n v="1"/>
    <n v="54500"/>
    <n v="54500"/>
    <x v="1"/>
    <n v="4"/>
  </r>
  <r>
    <n v="1234"/>
    <d v="2026-03-26T01:09:16"/>
    <s v="Suresh"/>
    <x v="0"/>
    <x v="2"/>
    <s v="Office Equipment"/>
    <n v="1"/>
    <n v="14500"/>
    <n v="14500"/>
    <x v="0"/>
    <n v="5"/>
  </r>
  <r>
    <n v="1235"/>
    <d v="2026-03-26T09:48:42"/>
    <s v="Arjun"/>
    <x v="0"/>
    <x v="5"/>
    <s v="Accessories"/>
    <n v="2"/>
    <n v="3000"/>
    <n v="6000"/>
    <x v="2"/>
    <n v="5"/>
  </r>
  <r>
    <n v="1236"/>
    <d v="2026-03-26T18:28:08"/>
    <s v="Sai"/>
    <x v="1"/>
    <x v="7"/>
    <s v="Accessories"/>
    <n v="1"/>
    <n v="800"/>
    <n v="800"/>
    <x v="0"/>
    <n v="4"/>
  </r>
  <r>
    <n v="1237"/>
    <d v="2026-03-27T03:07:35"/>
    <s v="Neha"/>
    <x v="1"/>
    <x v="6"/>
    <s v="Electronics"/>
    <n v="1"/>
    <n v="25000"/>
    <n v="25000"/>
    <x v="2"/>
    <n v="3"/>
  </r>
  <r>
    <n v="1238"/>
    <d v="2026-03-27T11:47:01"/>
    <s v="Ajay"/>
    <x v="4"/>
    <x v="1"/>
    <s v="Electronics"/>
    <n v="1"/>
    <n v="22000"/>
    <n v="22000"/>
    <x v="0"/>
    <n v="5"/>
  </r>
  <r>
    <n v="1239"/>
    <d v="2026-03-27T20:26:27"/>
    <s v="Ajay"/>
    <x v="0"/>
    <x v="5"/>
    <s v="Accessories"/>
    <n v="2"/>
    <n v="2500"/>
    <n v="5000"/>
    <x v="0"/>
    <n v="4"/>
  </r>
  <r>
    <n v="1240"/>
    <d v="2026-03-28T05:05:54"/>
    <s v="Kiran"/>
    <x v="1"/>
    <x v="2"/>
    <s v="Office Equipment"/>
    <n v="3"/>
    <n v="14000"/>
    <n v="42000"/>
    <x v="0"/>
    <n v="5"/>
  </r>
  <r>
    <n v="1241"/>
    <d v="2026-03-28T13:45:20"/>
    <s v="Sneha"/>
    <x v="0"/>
    <x v="5"/>
    <s v="Accessories"/>
    <n v="2"/>
    <n v="2000"/>
    <n v="4000"/>
    <x v="2"/>
    <n v="5"/>
  </r>
  <r>
    <n v="1242"/>
    <d v="2026-03-28T22:24:46"/>
    <s v="Rohan"/>
    <x v="3"/>
    <x v="7"/>
    <s v="Accessories"/>
    <n v="2"/>
    <n v="800"/>
    <n v="1600"/>
    <x v="0"/>
    <n v="5"/>
  </r>
  <r>
    <n v="1243"/>
    <d v="2026-03-29T07:04:13"/>
    <s v="Lakshmi"/>
    <x v="5"/>
    <x v="4"/>
    <s v="Electronics"/>
    <n v="2"/>
    <n v="12000"/>
    <n v="24000"/>
    <x v="2"/>
    <n v="4"/>
  </r>
  <r>
    <n v="1244"/>
    <d v="2026-03-29T15:43:39"/>
    <s v="Arjun"/>
    <x v="0"/>
    <x v="2"/>
    <s v="Office Equipment"/>
    <n v="1"/>
    <n v="14000"/>
    <n v="14000"/>
    <x v="2"/>
    <n v="5"/>
  </r>
  <r>
    <n v="1245"/>
    <d v="2026-03-30T00:23:05"/>
    <s v="Suresh"/>
    <x v="1"/>
    <x v="6"/>
    <s v="Electronics"/>
    <n v="5"/>
    <n v="25000"/>
    <n v="125000"/>
    <x v="2"/>
    <n v="5"/>
  </r>
  <r>
    <n v="1246"/>
    <d v="2026-03-30T09:02:32"/>
    <s v="Ravi"/>
    <x v="1"/>
    <x v="7"/>
    <s v="Accessories"/>
    <n v="1"/>
    <n v="300"/>
    <n v="300"/>
    <x v="0"/>
    <n v="4"/>
  </r>
  <r>
    <n v="1247"/>
    <d v="2026-03-30T17:41:58"/>
    <s v="Rohan"/>
    <x v="1"/>
    <x v="7"/>
    <s v="Accessories"/>
    <n v="1"/>
    <n v="300"/>
    <n v="300"/>
    <x v="0"/>
    <n v="5"/>
  </r>
  <r>
    <n v="1248"/>
    <d v="2026-03-31T02:21:24"/>
    <s v="Meena"/>
    <x v="4"/>
    <x v="7"/>
    <s v="Accessories"/>
    <n v="2"/>
    <n v="800"/>
    <n v="1600"/>
    <x v="2"/>
    <n v="4"/>
  </r>
  <r>
    <n v="1249"/>
    <d v="2026-03-31T11:00:51"/>
    <s v="Priya"/>
    <x v="3"/>
    <x v="0"/>
    <s v="Accessories"/>
    <n v="2"/>
    <n v="2000"/>
    <n v="4000"/>
    <x v="2"/>
    <n v="5"/>
  </r>
  <r>
    <n v="1250"/>
    <d v="2026-03-31T19:40:17"/>
    <s v="Sneha"/>
    <x v="5"/>
    <x v="5"/>
    <s v="Accessories"/>
    <n v="1"/>
    <n v="2500"/>
    <n v="2500"/>
    <x v="0"/>
    <n v="5"/>
  </r>
  <r>
    <n v="1251"/>
    <d v="2026-04-01T04:19:43"/>
    <s v="Kavya"/>
    <x v="1"/>
    <x v="7"/>
    <s v="Accessories"/>
    <n v="2"/>
    <n v="300"/>
    <n v="600"/>
    <x v="0"/>
    <n v="5"/>
  </r>
  <r>
    <n v="1252"/>
    <d v="2026-04-01T12:59:09"/>
    <s v="Suresh"/>
    <x v="3"/>
    <x v="6"/>
    <s v="Electronics"/>
    <n v="4"/>
    <n v="25000"/>
    <n v="100000"/>
    <x v="1"/>
    <n v="5"/>
  </r>
  <r>
    <n v="1253"/>
    <d v="2026-04-01T21:38:36"/>
    <s v="Anu"/>
    <x v="3"/>
    <x v="4"/>
    <s v="Electronics"/>
    <n v="3"/>
    <n v="12000"/>
    <n v="36000"/>
    <x v="0"/>
    <n v="5"/>
  </r>
  <r>
    <n v="1254"/>
    <d v="2026-04-02T06:18:02"/>
    <s v="Priya"/>
    <x v="5"/>
    <x v="3"/>
    <s v="Electronics"/>
    <n v="3"/>
    <n v="55000"/>
    <n v="165000"/>
    <x v="0"/>
    <n v="4"/>
  </r>
  <r>
    <n v="1255"/>
    <d v="2026-04-02T14:57:28"/>
    <s v="Manoj"/>
    <x v="2"/>
    <x v="7"/>
    <s v="Accessories"/>
    <n v="1"/>
    <n v="300"/>
    <n v="300"/>
    <x v="0"/>
    <n v="4"/>
  </r>
  <r>
    <n v="1256"/>
    <d v="2026-04-02T23:36:55"/>
    <s v="Arjun"/>
    <x v="3"/>
    <x v="5"/>
    <s v="Accessories"/>
    <n v="2"/>
    <n v="2500"/>
    <n v="5000"/>
    <x v="2"/>
    <n v="5"/>
  </r>
  <r>
    <n v="1257"/>
    <d v="2026-04-03T08:16:21"/>
    <s v="Neha"/>
    <x v="3"/>
    <x v="1"/>
    <s v="Electronics"/>
    <n v="1"/>
    <n v="22500"/>
    <n v="22500"/>
    <x v="3"/>
    <n v="4"/>
  </r>
  <r>
    <n v="1258"/>
    <d v="2026-04-03T16:55:47"/>
    <s v="Kavya"/>
    <x v="1"/>
    <x v="1"/>
    <s v="Electronics"/>
    <n v="3"/>
    <n v="22000"/>
    <n v="66000"/>
    <x v="3"/>
    <n v="4"/>
  </r>
  <r>
    <n v="1259"/>
    <d v="2026-04-04T01:35:14"/>
    <s v="Lakshmi"/>
    <x v="1"/>
    <x v="3"/>
    <s v="Electronics"/>
    <n v="1"/>
    <n v="55000"/>
    <n v="55000"/>
    <x v="2"/>
    <n v="5"/>
  </r>
  <r>
    <n v="1260"/>
    <d v="2026-04-04T10:14:40"/>
    <s v="Lakshmi"/>
    <x v="2"/>
    <x v="4"/>
    <s v="Electronics"/>
    <n v="1"/>
    <n v="12000"/>
    <n v="12000"/>
    <x v="2"/>
    <n v="5"/>
  </r>
  <r>
    <n v="1261"/>
    <d v="2026-04-04T18:54:06"/>
    <s v="Vamsi"/>
    <x v="5"/>
    <x v="7"/>
    <s v="Accessories"/>
    <n v="2"/>
    <n v="800"/>
    <n v="1600"/>
    <x v="0"/>
    <n v="4"/>
  </r>
  <r>
    <n v="1262"/>
    <d v="2026-04-05T03:33:33"/>
    <s v="Pooja"/>
    <x v="1"/>
    <x v="5"/>
    <s v="Accessories"/>
    <n v="1"/>
    <n v="2000"/>
    <n v="2000"/>
    <x v="0"/>
    <n v="4"/>
  </r>
  <r>
    <n v="1263"/>
    <d v="2026-04-05T12:12:59"/>
    <s v="Sai"/>
    <x v="3"/>
    <x v="5"/>
    <s v="Accessories"/>
    <n v="1"/>
    <n v="2500"/>
    <n v="2500"/>
    <x v="2"/>
    <n v="4"/>
  </r>
  <r>
    <n v="1264"/>
    <d v="2026-04-05T20:52:25"/>
    <s v="Priya"/>
    <x v="3"/>
    <x v="0"/>
    <s v="Accessories"/>
    <n v="2"/>
    <n v="1500"/>
    <n v="3000"/>
    <x v="1"/>
    <n v="3"/>
  </r>
  <r>
    <n v="1265"/>
    <d v="2026-04-06T05:31:52"/>
    <s v="Arjun"/>
    <x v="5"/>
    <x v="6"/>
    <s v="Electronics"/>
    <n v="5"/>
    <n v="25000"/>
    <n v="125000"/>
    <x v="0"/>
    <n v="4"/>
  </r>
  <r>
    <n v="1266"/>
    <d v="2026-04-06T14:11:18"/>
    <s v="Sneha"/>
    <x v="1"/>
    <x v="3"/>
    <s v="Electronics"/>
    <n v="2"/>
    <n v="54500"/>
    <n v="109000"/>
    <x v="1"/>
    <n v="5"/>
  </r>
  <r>
    <n v="1267"/>
    <d v="2026-04-06T22:50:44"/>
    <s v="Anu"/>
    <x v="0"/>
    <x v="4"/>
    <s v="Electronics"/>
    <n v="1"/>
    <n v="12000"/>
    <n v="12000"/>
    <x v="0"/>
    <n v="5"/>
  </r>
  <r>
    <n v="1268"/>
    <d v="2026-04-07T07:30:11"/>
    <s v="Lakshmi"/>
    <x v="5"/>
    <x v="5"/>
    <s v="Accessories"/>
    <n v="1"/>
    <n v="2500"/>
    <n v="2500"/>
    <x v="0"/>
    <n v="5"/>
  </r>
  <r>
    <n v="1269"/>
    <d v="2026-04-07T16:09:37"/>
    <s v="Anu"/>
    <x v="5"/>
    <x v="7"/>
    <s v="Accessories"/>
    <n v="1"/>
    <n v="800"/>
    <n v="800"/>
    <x v="3"/>
    <n v="3"/>
  </r>
  <r>
    <n v="1270"/>
    <d v="2026-04-08T00:49:03"/>
    <s v="Meena"/>
    <x v="5"/>
    <x v="4"/>
    <s v="Electronics"/>
    <n v="1"/>
    <n v="11500"/>
    <n v="11500"/>
    <x v="1"/>
    <n v="5"/>
  </r>
  <r>
    <n v="1271"/>
    <d v="2026-04-08T09:28:30"/>
    <s v="Sai"/>
    <x v="5"/>
    <x v="2"/>
    <s v="Office Equipment"/>
    <n v="2"/>
    <n v="14000"/>
    <n v="28000"/>
    <x v="3"/>
    <n v="3"/>
  </r>
  <r>
    <n v="1272"/>
    <d v="2026-04-08T18:07:56"/>
    <s v="Meena"/>
    <x v="4"/>
    <x v="5"/>
    <s v="Accessories"/>
    <n v="1"/>
    <n v="2500"/>
    <n v="2500"/>
    <x v="0"/>
    <n v="4"/>
  </r>
  <r>
    <n v="1273"/>
    <d v="2026-04-09T02:47:22"/>
    <s v="Manoj"/>
    <x v="2"/>
    <x v="5"/>
    <s v="Accessories"/>
    <n v="3"/>
    <n v="2500"/>
    <n v="7500"/>
    <x v="2"/>
    <n v="5"/>
  </r>
  <r>
    <n v="1274"/>
    <d v="2026-04-09T11:26:49"/>
    <s v="Meena"/>
    <x v="0"/>
    <x v="1"/>
    <s v="Electronics"/>
    <n v="1"/>
    <n v="22000"/>
    <n v="22000"/>
    <x v="0"/>
    <n v="5"/>
  </r>
  <r>
    <n v="1275"/>
    <d v="2026-04-09T20:06:15"/>
    <s v="Divya"/>
    <x v="2"/>
    <x v="1"/>
    <s v="Electronics"/>
    <n v="2"/>
    <n v="22000"/>
    <n v="44000"/>
    <x v="2"/>
    <n v="3"/>
  </r>
  <r>
    <n v="1276"/>
    <d v="2026-04-10T04:45:41"/>
    <s v="Ravi"/>
    <x v="5"/>
    <x v="5"/>
    <s v="Accessories"/>
    <n v="1"/>
    <n v="2500"/>
    <n v="2500"/>
    <x v="0"/>
    <n v="3"/>
  </r>
  <r>
    <n v="1277"/>
    <d v="2026-04-10T13:25:08"/>
    <s v="Arjun"/>
    <x v="2"/>
    <x v="6"/>
    <s v="Electronics"/>
    <n v="2"/>
    <n v="25000"/>
    <n v="50000"/>
    <x v="1"/>
    <n v="5"/>
  </r>
  <r>
    <n v="1278"/>
    <d v="2026-04-10T22:04:34"/>
    <s v="Ajay"/>
    <x v="4"/>
    <x v="0"/>
    <s v="Accessories"/>
    <n v="1"/>
    <n v="1500"/>
    <n v="1500"/>
    <x v="2"/>
    <n v="4"/>
  </r>
  <r>
    <n v="1279"/>
    <d v="2026-04-11T06:44:00"/>
    <s v="Divya"/>
    <x v="0"/>
    <x v="7"/>
    <s v="Accessories"/>
    <n v="1"/>
    <n v="800"/>
    <n v="800"/>
    <x v="0"/>
    <n v="3"/>
  </r>
  <r>
    <n v="1280"/>
    <d v="2026-04-11T15:23:27"/>
    <s v="Manoj"/>
    <x v="0"/>
    <x v="2"/>
    <s v="Office Equipment"/>
    <n v="1"/>
    <n v="14000"/>
    <n v="14000"/>
    <x v="2"/>
    <n v="2"/>
  </r>
  <r>
    <n v="1281"/>
    <d v="2026-04-12T00:02:53"/>
    <s v="Meena"/>
    <x v="0"/>
    <x v="7"/>
    <s v="Accessories"/>
    <n v="1"/>
    <n v="300"/>
    <n v="300"/>
    <x v="3"/>
    <n v="4"/>
  </r>
  <r>
    <n v="1282"/>
    <d v="2026-04-12T08:42:19"/>
    <s v="Kavya"/>
    <x v="1"/>
    <x v="2"/>
    <s v="Office Equipment"/>
    <n v="2"/>
    <n v="14000"/>
    <n v="28000"/>
    <x v="0"/>
    <n v="3"/>
  </r>
  <r>
    <n v="1283"/>
    <d v="2026-04-12T17:21:46"/>
    <s v="Divya"/>
    <x v="4"/>
    <x v="3"/>
    <s v="Electronics"/>
    <n v="2"/>
    <n v="54500"/>
    <n v="109000"/>
    <x v="2"/>
    <n v="4"/>
  </r>
  <r>
    <n v="1284"/>
    <d v="2026-04-13T02:01:12"/>
    <s v="Pooja"/>
    <x v="4"/>
    <x v="7"/>
    <s v="Accessories"/>
    <n v="1"/>
    <n v="1300"/>
    <n v="1300"/>
    <x v="1"/>
    <n v="5"/>
  </r>
  <r>
    <n v="1285"/>
    <d v="2026-04-13T10:40:38"/>
    <s v="Rohan"/>
    <x v="1"/>
    <x v="7"/>
    <s v="Accessories"/>
    <n v="3"/>
    <n v="800"/>
    <n v="2400"/>
    <x v="1"/>
    <n v="4"/>
  </r>
  <r>
    <n v="1286"/>
    <d v="2026-04-13T19:20:05"/>
    <s v="Divya"/>
    <x v="3"/>
    <x v="6"/>
    <s v="Electronics"/>
    <n v="1"/>
    <n v="25000"/>
    <n v="25000"/>
    <x v="3"/>
    <n v="5"/>
  </r>
  <r>
    <n v="1287"/>
    <d v="2026-04-14T03:59:31"/>
    <s v="Vamsi"/>
    <x v="0"/>
    <x v="7"/>
    <s v="Accessories"/>
    <n v="2"/>
    <n v="1300"/>
    <n v="2600"/>
    <x v="0"/>
    <n v="5"/>
  </r>
  <r>
    <n v="1288"/>
    <d v="2026-04-14T12:38:57"/>
    <s v="Pooja"/>
    <x v="5"/>
    <x v="3"/>
    <s v="Electronics"/>
    <n v="4"/>
    <n v="55000"/>
    <n v="220000"/>
    <x v="0"/>
    <n v="5"/>
  </r>
  <r>
    <n v="1289"/>
    <d v="2026-04-14T21:18:24"/>
    <s v="Rahul"/>
    <x v="1"/>
    <x v="6"/>
    <s v="Electronics"/>
    <n v="2"/>
    <n v="25000"/>
    <n v="50000"/>
    <x v="2"/>
    <n v="5"/>
  </r>
  <r>
    <n v="1290"/>
    <d v="2026-04-15T05:57:50"/>
    <s v="Ravi"/>
    <x v="1"/>
    <x v="7"/>
    <s v="Accessories"/>
    <n v="1"/>
    <n v="300"/>
    <n v="300"/>
    <x v="2"/>
    <n v="5"/>
  </r>
  <r>
    <n v="1291"/>
    <d v="2026-04-15T14:37:16"/>
    <s v="Sai"/>
    <x v="2"/>
    <x v="3"/>
    <s v="Electronics"/>
    <n v="1"/>
    <n v="55000"/>
    <n v="55000"/>
    <x v="2"/>
    <n v="5"/>
  </r>
  <r>
    <n v="1292"/>
    <d v="2026-04-15T23:16:43"/>
    <s v="Vamsi"/>
    <x v="2"/>
    <x v="4"/>
    <s v="Electronics"/>
    <n v="1"/>
    <n v="12000"/>
    <n v="12000"/>
    <x v="2"/>
    <n v="2"/>
  </r>
  <r>
    <n v="1293"/>
    <d v="2026-04-16T07:56:09"/>
    <s v="Lakshmi"/>
    <x v="2"/>
    <x v="6"/>
    <s v="Electronics"/>
    <n v="1"/>
    <n v="25000"/>
    <n v="25000"/>
    <x v="1"/>
    <n v="4"/>
  </r>
  <r>
    <n v="1294"/>
    <d v="2026-04-16T16:35:35"/>
    <s v="Suresh"/>
    <x v="5"/>
    <x v="0"/>
    <s v="Accessories"/>
    <n v="1"/>
    <n v="1500"/>
    <n v="1500"/>
    <x v="0"/>
    <n v="4"/>
  </r>
  <r>
    <n v="1295"/>
    <d v="2026-04-17T01:15:02"/>
    <s v="Kiran"/>
    <x v="3"/>
    <x v="4"/>
    <s v="Electronics"/>
    <n v="3"/>
    <n v="12000"/>
    <n v="36000"/>
    <x v="0"/>
    <n v="5"/>
  </r>
  <r>
    <n v="1296"/>
    <d v="2026-04-17T09:54:28"/>
    <s v="Vamsi"/>
    <x v="1"/>
    <x v="3"/>
    <s v="Electronics"/>
    <n v="2"/>
    <n v="55000"/>
    <n v="110000"/>
    <x v="0"/>
    <n v="5"/>
  </r>
  <r>
    <n v="1297"/>
    <d v="2026-04-17T18:33:54"/>
    <s v="Nikhil"/>
    <x v="1"/>
    <x v="5"/>
    <s v="Accessories"/>
    <n v="2"/>
    <n v="2500"/>
    <n v="5000"/>
    <x v="0"/>
    <n v="4"/>
  </r>
  <r>
    <n v="1298"/>
    <d v="2026-04-18T03:13:21"/>
    <s v="Suresh"/>
    <x v="2"/>
    <x v="4"/>
    <s v="Electronics"/>
    <n v="2"/>
    <n v="11500"/>
    <n v="23000"/>
    <x v="2"/>
    <n v="3"/>
  </r>
  <r>
    <n v="1299"/>
    <d v="2026-04-18T11:52:47"/>
    <s v="Sneha"/>
    <x v="4"/>
    <x v="6"/>
    <s v="Electronics"/>
    <n v="2"/>
    <n v="25500"/>
    <n v="51000"/>
    <x v="2"/>
    <n v="3"/>
  </r>
  <r>
    <n v="1300"/>
    <d v="2026-04-18T20:32:13"/>
    <s v="Nikhil"/>
    <x v="2"/>
    <x v="0"/>
    <s v="Accessories"/>
    <n v="1"/>
    <n v="1000"/>
    <n v="1000"/>
    <x v="2"/>
    <n v="5"/>
  </r>
  <r>
    <n v="1301"/>
    <d v="2026-04-19T05:11:40"/>
    <s v="Rohan"/>
    <x v="3"/>
    <x v="2"/>
    <s v="Office Equipment"/>
    <n v="4"/>
    <n v="14000"/>
    <n v="56000"/>
    <x v="2"/>
    <n v="5"/>
  </r>
  <r>
    <n v="1302"/>
    <d v="2026-04-19T13:51:06"/>
    <s v="Sai"/>
    <x v="2"/>
    <x v="3"/>
    <s v="Electronics"/>
    <n v="1"/>
    <n v="55000"/>
    <n v="55000"/>
    <x v="1"/>
    <n v="4"/>
  </r>
  <r>
    <n v="1303"/>
    <d v="2026-04-19T22:30:32"/>
    <s v="Sai"/>
    <x v="2"/>
    <x v="4"/>
    <s v="Electronics"/>
    <n v="5"/>
    <n v="12000"/>
    <n v="60000"/>
    <x v="2"/>
    <n v="5"/>
  </r>
  <r>
    <n v="1304"/>
    <d v="2026-04-20T07:09:59"/>
    <s v="Suresh"/>
    <x v="0"/>
    <x v="6"/>
    <s v="Electronics"/>
    <n v="4"/>
    <n v="25000"/>
    <n v="100000"/>
    <x v="3"/>
    <n v="4"/>
  </r>
  <r>
    <n v="1305"/>
    <d v="2026-04-20T15:49:25"/>
    <s v="Neha"/>
    <x v="5"/>
    <x v="0"/>
    <s v="Accessories"/>
    <n v="1"/>
    <n v="1500"/>
    <n v="1500"/>
    <x v="2"/>
    <n v="5"/>
  </r>
  <r>
    <n v="1306"/>
    <d v="2026-04-21T00:28:51"/>
    <s v="Sneha"/>
    <x v="3"/>
    <x v="3"/>
    <s v="Electronics"/>
    <n v="4"/>
    <n v="55500"/>
    <n v="222000"/>
    <x v="0"/>
    <n v="4"/>
  </r>
  <r>
    <n v="1307"/>
    <d v="2026-04-21T09:08:18"/>
    <s v="Sneha"/>
    <x v="5"/>
    <x v="3"/>
    <s v="Electronics"/>
    <n v="1"/>
    <n v="55500"/>
    <n v="55500"/>
    <x v="0"/>
    <n v="3"/>
  </r>
  <r>
    <n v="1308"/>
    <d v="2026-04-21T17:47:44"/>
    <s v="Lakshmi"/>
    <x v="0"/>
    <x v="7"/>
    <s v="Accessories"/>
    <n v="1"/>
    <n v="800"/>
    <n v="800"/>
    <x v="0"/>
    <n v="5"/>
  </r>
  <r>
    <n v="1309"/>
    <d v="2026-04-22T02:27:10"/>
    <s v="Vamsi"/>
    <x v="1"/>
    <x v="5"/>
    <s v="Accessories"/>
    <n v="3"/>
    <n v="2000"/>
    <n v="6000"/>
    <x v="0"/>
    <n v="3"/>
  </r>
  <r>
    <n v="1310"/>
    <d v="2026-04-22T11:06:37"/>
    <s v="Ravi"/>
    <x v="4"/>
    <x v="2"/>
    <s v="Office Equipment"/>
    <n v="1"/>
    <n v="14000"/>
    <n v="14000"/>
    <x v="0"/>
    <n v="5"/>
  </r>
  <r>
    <n v="1311"/>
    <d v="2026-04-22T19:46:03"/>
    <s v="Ajay"/>
    <x v="5"/>
    <x v="3"/>
    <s v="Electronics"/>
    <n v="2"/>
    <n v="55500"/>
    <n v="111000"/>
    <x v="0"/>
    <n v="4"/>
  </r>
  <r>
    <n v="1312"/>
    <d v="2026-04-23T04:25:29"/>
    <s v="Meena"/>
    <x v="5"/>
    <x v="7"/>
    <s v="Accessories"/>
    <n v="2"/>
    <n v="1300"/>
    <n v="2600"/>
    <x v="2"/>
    <n v="4"/>
  </r>
  <r>
    <n v="1313"/>
    <d v="2026-04-23T13:04:56"/>
    <s v="Pooja"/>
    <x v="2"/>
    <x v="4"/>
    <s v="Electronics"/>
    <n v="1"/>
    <n v="12500"/>
    <n v="12500"/>
    <x v="0"/>
    <n v="2"/>
  </r>
  <r>
    <n v="1314"/>
    <d v="2026-04-23T21:44:22"/>
    <s v="Ravi"/>
    <x v="2"/>
    <x v="6"/>
    <s v="Electronics"/>
    <n v="1"/>
    <n v="24500"/>
    <n v="24500"/>
    <x v="1"/>
    <n v="4"/>
  </r>
  <r>
    <n v="1315"/>
    <d v="2026-04-24T06:23:48"/>
    <s v="Rohan"/>
    <x v="2"/>
    <x v="0"/>
    <s v="Accessories"/>
    <n v="2"/>
    <n v="1500"/>
    <n v="3000"/>
    <x v="2"/>
    <n v="4"/>
  </r>
  <r>
    <n v="1316"/>
    <d v="2026-04-24T15:03:15"/>
    <s v="Kavya"/>
    <x v="2"/>
    <x v="1"/>
    <s v="Electronics"/>
    <n v="1"/>
    <n v="22000"/>
    <n v="22000"/>
    <x v="2"/>
    <n v="4"/>
  </r>
  <r>
    <n v="1317"/>
    <d v="2026-04-24T23:42:41"/>
    <s v="Ajay"/>
    <x v="3"/>
    <x v="0"/>
    <s v="Accessories"/>
    <n v="2"/>
    <n v="1500"/>
    <n v="3000"/>
    <x v="3"/>
    <n v="4"/>
  </r>
  <r>
    <n v="1318"/>
    <d v="2026-04-25T08:22:07"/>
    <s v="Rahul"/>
    <x v="5"/>
    <x v="3"/>
    <s v="Electronics"/>
    <n v="3"/>
    <n v="55000"/>
    <n v="165000"/>
    <x v="0"/>
    <n v="4"/>
  </r>
  <r>
    <n v="1319"/>
    <d v="2026-04-25T17:01:34"/>
    <s v="Ajay"/>
    <x v="3"/>
    <x v="6"/>
    <s v="Electronics"/>
    <n v="2"/>
    <n v="25000"/>
    <n v="50000"/>
    <x v="0"/>
    <n v="4"/>
  </r>
  <r>
    <n v="1320"/>
    <d v="2026-04-26T01:41:00"/>
    <s v="Rohan"/>
    <x v="0"/>
    <x v="2"/>
    <s v="Office Equipment"/>
    <n v="2"/>
    <n v="14000"/>
    <n v="28000"/>
    <x v="0"/>
    <n v="4"/>
  </r>
  <r>
    <n v="1321"/>
    <d v="2026-04-26T10:20:26"/>
    <s v="Anu"/>
    <x v="1"/>
    <x v="2"/>
    <s v="Office Equipment"/>
    <n v="2"/>
    <n v="14000"/>
    <n v="28000"/>
    <x v="2"/>
    <n v="4"/>
  </r>
  <r>
    <n v="1322"/>
    <d v="2026-04-26T18:59:53"/>
    <s v="Pooja"/>
    <x v="0"/>
    <x v="3"/>
    <s v="Electronics"/>
    <n v="1"/>
    <n v="55000"/>
    <n v="55000"/>
    <x v="0"/>
    <n v="4"/>
  </r>
  <r>
    <n v="1323"/>
    <d v="2026-04-27T03:39:19"/>
    <s v="Manoj"/>
    <x v="3"/>
    <x v="6"/>
    <s v="Electronics"/>
    <n v="1"/>
    <n v="25000"/>
    <n v="25000"/>
    <x v="2"/>
    <n v="4"/>
  </r>
  <r>
    <n v="1324"/>
    <d v="2026-04-27T12:18:45"/>
    <s v="Arjun"/>
    <x v="5"/>
    <x v="6"/>
    <s v="Electronics"/>
    <n v="3"/>
    <n v="25000"/>
    <n v="75000"/>
    <x v="1"/>
    <n v="4"/>
  </r>
  <r>
    <n v="1325"/>
    <d v="2026-04-27T20:58:12"/>
    <s v="Divya"/>
    <x v="5"/>
    <x v="2"/>
    <s v="Office Equipment"/>
    <n v="1"/>
    <n v="14000"/>
    <n v="14000"/>
    <x v="2"/>
    <n v="5"/>
  </r>
  <r>
    <n v="1326"/>
    <d v="2026-04-28T05:37:38"/>
    <s v="Suresh"/>
    <x v="2"/>
    <x v="0"/>
    <s v="Accessories"/>
    <n v="3"/>
    <n v="2000"/>
    <n v="6000"/>
    <x v="3"/>
    <n v="4"/>
  </r>
  <r>
    <n v="1327"/>
    <d v="2026-04-28T14:17:04"/>
    <s v="Vamsi"/>
    <x v="0"/>
    <x v="2"/>
    <s v="Office Equipment"/>
    <n v="1"/>
    <n v="14500"/>
    <n v="14500"/>
    <x v="0"/>
    <n v="5"/>
  </r>
  <r>
    <n v="1328"/>
    <d v="2026-04-28T22:56:31"/>
    <s v="Arjun"/>
    <x v="2"/>
    <x v="5"/>
    <s v="Accessories"/>
    <n v="1"/>
    <n v="2000"/>
    <n v="2000"/>
    <x v="0"/>
    <n v="5"/>
  </r>
  <r>
    <n v="1329"/>
    <d v="2026-04-29T07:35:57"/>
    <s v="Manoj"/>
    <x v="1"/>
    <x v="7"/>
    <s v="Accessories"/>
    <n v="1"/>
    <n v="1300"/>
    <n v="1300"/>
    <x v="1"/>
    <n v="3"/>
  </r>
  <r>
    <n v="1330"/>
    <d v="2026-04-29T16:15:23"/>
    <s v="Pooja"/>
    <x v="1"/>
    <x v="6"/>
    <s v="Electronics"/>
    <n v="5"/>
    <n v="25500"/>
    <n v="127500"/>
    <x v="0"/>
    <n v="4"/>
  </r>
  <r>
    <n v="1331"/>
    <d v="2026-04-30T00:54:50"/>
    <s v="Kavya"/>
    <x v="5"/>
    <x v="1"/>
    <s v="Electronics"/>
    <n v="3"/>
    <n v="22000"/>
    <n v="66000"/>
    <x v="0"/>
    <n v="3"/>
  </r>
  <r>
    <n v="1332"/>
    <d v="2026-04-30T09:34:16"/>
    <s v="Suresh"/>
    <x v="0"/>
    <x v="6"/>
    <s v="Electronics"/>
    <n v="1"/>
    <n v="25500"/>
    <n v="25500"/>
    <x v="3"/>
    <n v="5"/>
  </r>
  <r>
    <n v="1333"/>
    <d v="2026-04-30T18:13:42"/>
    <s v="Sai"/>
    <x v="3"/>
    <x v="4"/>
    <s v="Electronics"/>
    <n v="1"/>
    <n v="12000"/>
    <n v="12000"/>
    <x v="1"/>
    <n v="5"/>
  </r>
  <r>
    <n v="1334"/>
    <d v="2026-05-01T02:53:09"/>
    <s v="Divya"/>
    <x v="1"/>
    <x v="3"/>
    <s v="Electronics"/>
    <n v="2"/>
    <n v="55000"/>
    <n v="110000"/>
    <x v="2"/>
    <n v="4"/>
  </r>
  <r>
    <n v="1335"/>
    <d v="2026-05-01T11:32:35"/>
    <s v="Arjun"/>
    <x v="1"/>
    <x v="4"/>
    <s v="Electronics"/>
    <n v="5"/>
    <n v="11500"/>
    <n v="57500"/>
    <x v="1"/>
    <n v="4"/>
  </r>
  <r>
    <n v="1336"/>
    <d v="2026-05-01T20:12:01"/>
    <s v="Lakshmi"/>
    <x v="1"/>
    <x v="0"/>
    <s v="Accessories"/>
    <n v="1"/>
    <n v="1500"/>
    <n v="1500"/>
    <x v="1"/>
    <n v="5"/>
  </r>
  <r>
    <n v="1337"/>
    <d v="2026-05-02T04:51:28"/>
    <s v="Meena"/>
    <x v="4"/>
    <x v="6"/>
    <s v="Electronics"/>
    <n v="3"/>
    <n v="25000"/>
    <n v="75000"/>
    <x v="1"/>
    <n v="5"/>
  </r>
  <r>
    <n v="1338"/>
    <d v="2026-05-02T13:30:54"/>
    <s v="Anu"/>
    <x v="3"/>
    <x v="4"/>
    <s v="Electronics"/>
    <n v="1"/>
    <n v="12000"/>
    <n v="12000"/>
    <x v="1"/>
    <n v="4"/>
  </r>
  <r>
    <n v="1339"/>
    <d v="2026-05-02T22:10:20"/>
    <s v="Nikhil"/>
    <x v="2"/>
    <x v="0"/>
    <s v="Accessories"/>
    <n v="5"/>
    <n v="1500"/>
    <n v="7500"/>
    <x v="0"/>
    <n v="5"/>
  </r>
  <r>
    <n v="1340"/>
    <d v="2026-05-03T06:49:47"/>
    <s v="Suresh"/>
    <x v="3"/>
    <x v="2"/>
    <s v="Office Equipment"/>
    <n v="1"/>
    <n v="14000"/>
    <n v="14000"/>
    <x v="1"/>
    <n v="5"/>
  </r>
  <r>
    <n v="1341"/>
    <d v="2026-05-03T15:29:13"/>
    <s v="Manoj"/>
    <x v="4"/>
    <x v="1"/>
    <s v="Electronics"/>
    <n v="1"/>
    <n v="22500"/>
    <n v="22500"/>
    <x v="2"/>
    <n v="4"/>
  </r>
  <r>
    <n v="1342"/>
    <d v="2026-05-04T00:08:39"/>
    <s v="Sneha"/>
    <x v="2"/>
    <x v="4"/>
    <s v="Electronics"/>
    <n v="1"/>
    <n v="12000"/>
    <n v="12000"/>
    <x v="0"/>
    <n v="2"/>
  </r>
  <r>
    <n v="1343"/>
    <d v="2026-05-04T08:48:06"/>
    <s v="Arjun"/>
    <x v="2"/>
    <x v="5"/>
    <s v="Accessories"/>
    <n v="1"/>
    <n v="2500"/>
    <n v="2500"/>
    <x v="0"/>
    <n v="5"/>
  </r>
  <r>
    <n v="1344"/>
    <d v="2026-05-04T17:27:32"/>
    <s v="Manoj"/>
    <x v="5"/>
    <x v="3"/>
    <s v="Electronics"/>
    <n v="4"/>
    <n v="55000"/>
    <n v="220000"/>
    <x v="2"/>
    <n v="5"/>
  </r>
  <r>
    <n v="1345"/>
    <d v="2026-05-05T02:06:58"/>
    <s v="Rohan"/>
    <x v="3"/>
    <x v="7"/>
    <s v="Accessories"/>
    <n v="1"/>
    <n v="800"/>
    <n v="800"/>
    <x v="2"/>
    <n v="4"/>
  </r>
  <r>
    <n v="1346"/>
    <d v="2026-05-05T10:46:25"/>
    <s v="Kavya"/>
    <x v="1"/>
    <x v="6"/>
    <s v="Electronics"/>
    <n v="2"/>
    <n v="25000"/>
    <n v="50000"/>
    <x v="0"/>
    <n v="4"/>
  </r>
  <r>
    <n v="1347"/>
    <d v="2026-05-05T19:25:51"/>
    <s v="Arjun"/>
    <x v="2"/>
    <x v="6"/>
    <s v="Electronics"/>
    <n v="2"/>
    <n v="24500"/>
    <n v="49000"/>
    <x v="0"/>
    <n v="5"/>
  </r>
  <r>
    <n v="1348"/>
    <d v="2026-05-06T04:05:17"/>
    <s v="Pooja"/>
    <x v="3"/>
    <x v="3"/>
    <s v="Electronics"/>
    <n v="2"/>
    <n v="54500"/>
    <n v="109000"/>
    <x v="3"/>
    <n v="5"/>
  </r>
  <r>
    <n v="1349"/>
    <d v="2026-05-06T12:44:44"/>
    <s v="Suresh"/>
    <x v="3"/>
    <x v="1"/>
    <s v="Electronics"/>
    <n v="1"/>
    <n v="22000"/>
    <n v="22000"/>
    <x v="2"/>
    <n v="5"/>
  </r>
  <r>
    <n v="1350"/>
    <d v="2026-05-06T21:24:10"/>
    <s v="Pooja"/>
    <x v="5"/>
    <x v="7"/>
    <s v="Accessories"/>
    <n v="2"/>
    <n v="800"/>
    <n v="1600"/>
    <x v="1"/>
    <n v="4"/>
  </r>
  <r>
    <n v="1351"/>
    <d v="2026-05-07T06:03:36"/>
    <s v="Divya"/>
    <x v="3"/>
    <x v="7"/>
    <s v="Accessories"/>
    <n v="1"/>
    <n v="1300"/>
    <n v="1300"/>
    <x v="0"/>
    <n v="4"/>
  </r>
  <r>
    <n v="1352"/>
    <d v="2026-05-07T14:43:03"/>
    <s v="Divya"/>
    <x v="4"/>
    <x v="0"/>
    <s v="Accessories"/>
    <n v="1"/>
    <n v="1000"/>
    <n v="1000"/>
    <x v="0"/>
    <n v="5"/>
  </r>
  <r>
    <n v="1353"/>
    <d v="2026-05-07T23:22:29"/>
    <s v="Arjun"/>
    <x v="5"/>
    <x v="0"/>
    <s v="Accessories"/>
    <n v="2"/>
    <n v="1500"/>
    <n v="3000"/>
    <x v="2"/>
    <n v="5"/>
  </r>
  <r>
    <n v="1354"/>
    <d v="2026-05-08T08:01:55"/>
    <s v="Divya"/>
    <x v="4"/>
    <x v="4"/>
    <s v="Electronics"/>
    <n v="3"/>
    <n v="11500"/>
    <n v="34500"/>
    <x v="3"/>
    <n v="4"/>
  </r>
  <r>
    <n v="1355"/>
    <d v="2026-05-08T16:41:22"/>
    <s v="Neha"/>
    <x v="4"/>
    <x v="5"/>
    <s v="Accessories"/>
    <n v="1"/>
    <n v="2500"/>
    <n v="2500"/>
    <x v="0"/>
    <n v="4"/>
  </r>
  <r>
    <n v="1356"/>
    <d v="2026-05-09T01:20:48"/>
    <s v="Suresh"/>
    <x v="4"/>
    <x v="1"/>
    <s v="Electronics"/>
    <n v="1"/>
    <n v="22000"/>
    <n v="22000"/>
    <x v="2"/>
    <n v="5"/>
  </r>
  <r>
    <n v="1357"/>
    <d v="2026-05-09T10:00:14"/>
    <s v="Vamsi"/>
    <x v="3"/>
    <x v="5"/>
    <s v="Accessories"/>
    <n v="2"/>
    <n v="3000"/>
    <n v="6000"/>
    <x v="0"/>
    <n v="4"/>
  </r>
  <r>
    <n v="1358"/>
    <d v="2026-05-09T18:39:41"/>
    <s v="Vamsi"/>
    <x v="1"/>
    <x v="6"/>
    <s v="Electronics"/>
    <n v="3"/>
    <n v="25000"/>
    <n v="75000"/>
    <x v="2"/>
    <n v="4"/>
  </r>
  <r>
    <n v="1359"/>
    <d v="2026-05-10T03:19:07"/>
    <s v="Lakshmi"/>
    <x v="3"/>
    <x v="6"/>
    <s v="Electronics"/>
    <n v="4"/>
    <n v="25000"/>
    <n v="100000"/>
    <x v="0"/>
    <n v="3"/>
  </r>
  <r>
    <n v="1360"/>
    <d v="2026-05-10T11:58:33"/>
    <s v="Ravi"/>
    <x v="1"/>
    <x v="4"/>
    <s v="Electronics"/>
    <n v="2"/>
    <n v="12000"/>
    <n v="24000"/>
    <x v="0"/>
    <n v="3"/>
  </r>
  <r>
    <n v="1361"/>
    <d v="2026-05-10T20:38:00"/>
    <s v="Suresh"/>
    <x v="2"/>
    <x v="0"/>
    <s v="Accessories"/>
    <n v="2"/>
    <n v="1000"/>
    <n v="2000"/>
    <x v="1"/>
    <n v="5"/>
  </r>
  <r>
    <n v="1362"/>
    <d v="2026-05-11T05:17:26"/>
    <s v="Neha"/>
    <x v="3"/>
    <x v="6"/>
    <s v="Electronics"/>
    <n v="1"/>
    <n v="25000"/>
    <n v="25000"/>
    <x v="2"/>
    <n v="5"/>
  </r>
  <r>
    <n v="1363"/>
    <d v="2026-05-11T13:56:52"/>
    <s v="Priya"/>
    <x v="5"/>
    <x v="4"/>
    <s v="Electronics"/>
    <n v="3"/>
    <n v="12000"/>
    <n v="36000"/>
    <x v="0"/>
    <n v="4"/>
  </r>
  <r>
    <n v="1364"/>
    <d v="2026-05-11T22:36:19"/>
    <s v="Arjun"/>
    <x v="4"/>
    <x v="3"/>
    <s v="Electronics"/>
    <n v="1"/>
    <n v="55000"/>
    <n v="55000"/>
    <x v="2"/>
    <n v="5"/>
  </r>
  <r>
    <n v="1365"/>
    <d v="2026-05-12T07:15:45"/>
    <s v="Anu"/>
    <x v="1"/>
    <x v="3"/>
    <s v="Electronics"/>
    <n v="1"/>
    <n v="55000"/>
    <n v="55000"/>
    <x v="0"/>
    <n v="5"/>
  </r>
  <r>
    <n v="1366"/>
    <d v="2026-05-12T15:55:11"/>
    <s v="Anu"/>
    <x v="0"/>
    <x v="0"/>
    <s v="Accessories"/>
    <n v="1"/>
    <n v="1500"/>
    <n v="1500"/>
    <x v="2"/>
    <n v="4"/>
  </r>
  <r>
    <n v="1367"/>
    <d v="2026-05-13T00:34:38"/>
    <s v="Manoj"/>
    <x v="4"/>
    <x v="0"/>
    <s v="Accessories"/>
    <n v="1"/>
    <n v="1500"/>
    <n v="1500"/>
    <x v="2"/>
    <n v="4"/>
  </r>
  <r>
    <n v="1368"/>
    <d v="2026-05-13T09:14:04"/>
    <s v="Rahul"/>
    <x v="0"/>
    <x v="4"/>
    <s v="Electronics"/>
    <n v="2"/>
    <n v="12000"/>
    <n v="24000"/>
    <x v="0"/>
    <n v="4"/>
  </r>
  <r>
    <n v="1369"/>
    <d v="2026-05-13T17:53:30"/>
    <s v="Nikhil"/>
    <x v="4"/>
    <x v="3"/>
    <s v="Electronics"/>
    <n v="3"/>
    <n v="55000"/>
    <n v="165000"/>
    <x v="0"/>
    <n v="5"/>
  </r>
  <r>
    <n v="1370"/>
    <d v="2026-05-14T02:32:57"/>
    <s v="Sai"/>
    <x v="2"/>
    <x v="4"/>
    <s v="Electronics"/>
    <n v="1"/>
    <n v="11500"/>
    <n v="11500"/>
    <x v="0"/>
    <n v="5"/>
  </r>
  <r>
    <n v="1371"/>
    <d v="2026-05-14T11:12:23"/>
    <s v="Anu"/>
    <x v="2"/>
    <x v="4"/>
    <s v="Electronics"/>
    <n v="3"/>
    <n v="12000"/>
    <n v="36000"/>
    <x v="0"/>
    <n v="4"/>
  </r>
  <r>
    <n v="1372"/>
    <d v="2026-05-14T19:51:49"/>
    <s v="Arjun"/>
    <x v="4"/>
    <x v="2"/>
    <s v="Office Equipment"/>
    <n v="1"/>
    <n v="14500"/>
    <n v="14500"/>
    <x v="0"/>
    <n v="3"/>
  </r>
  <r>
    <n v="1373"/>
    <d v="2026-05-15T04:31:16"/>
    <s v="Suresh"/>
    <x v="0"/>
    <x v="7"/>
    <s v="Accessories"/>
    <n v="4"/>
    <n v="800"/>
    <n v="3200"/>
    <x v="0"/>
    <n v="3"/>
  </r>
  <r>
    <n v="1374"/>
    <d v="2026-05-15T13:10:42"/>
    <s v="Kiran"/>
    <x v="0"/>
    <x v="5"/>
    <s v="Accessories"/>
    <n v="1"/>
    <n v="2500"/>
    <n v="2500"/>
    <x v="0"/>
    <n v="4"/>
  </r>
  <r>
    <n v="1375"/>
    <d v="2026-05-15T21:50:08"/>
    <s v="Vamsi"/>
    <x v="4"/>
    <x v="5"/>
    <s v="Accessories"/>
    <n v="5"/>
    <n v="2500"/>
    <n v="12500"/>
    <x v="1"/>
    <n v="4"/>
  </r>
  <r>
    <n v="1376"/>
    <d v="2026-05-16T06:29:35"/>
    <s v="Kiran"/>
    <x v="2"/>
    <x v="0"/>
    <s v="Accessories"/>
    <n v="1"/>
    <n v="1500"/>
    <n v="1500"/>
    <x v="2"/>
    <n v="4"/>
  </r>
  <r>
    <n v="1377"/>
    <d v="2026-05-16T15:09:01"/>
    <s v="Neha"/>
    <x v="0"/>
    <x v="6"/>
    <s v="Electronics"/>
    <n v="3"/>
    <n v="25000"/>
    <n v="75000"/>
    <x v="0"/>
    <n v="4"/>
  </r>
  <r>
    <n v="1378"/>
    <d v="2026-05-16T23:48:27"/>
    <s v="Pooja"/>
    <x v="4"/>
    <x v="3"/>
    <s v="Electronics"/>
    <n v="1"/>
    <n v="55000"/>
    <n v="55000"/>
    <x v="2"/>
    <n v="4"/>
  </r>
  <r>
    <n v="1379"/>
    <d v="2026-05-17T08:27:54"/>
    <s v="Ajay"/>
    <x v="0"/>
    <x v="4"/>
    <s v="Electronics"/>
    <n v="1"/>
    <n v="12000"/>
    <n v="12000"/>
    <x v="2"/>
    <n v="4"/>
  </r>
  <r>
    <n v="1380"/>
    <d v="2026-05-17T17:07:20"/>
    <s v="Suresh"/>
    <x v="5"/>
    <x v="2"/>
    <s v="Office Equipment"/>
    <n v="3"/>
    <n v="14000"/>
    <n v="42000"/>
    <x v="2"/>
    <n v="3"/>
  </r>
  <r>
    <n v="1381"/>
    <d v="2026-05-18T01:46:46"/>
    <s v="Priya"/>
    <x v="4"/>
    <x v="1"/>
    <s v="Electronics"/>
    <n v="2"/>
    <n v="22500"/>
    <n v="45000"/>
    <x v="0"/>
    <n v="4"/>
  </r>
  <r>
    <n v="1382"/>
    <d v="2026-05-18T10:26:13"/>
    <s v="Kiran"/>
    <x v="2"/>
    <x v="3"/>
    <s v="Electronics"/>
    <n v="2"/>
    <n v="55000"/>
    <n v="110000"/>
    <x v="2"/>
    <n v="4"/>
  </r>
  <r>
    <n v="1383"/>
    <d v="2026-05-18T19:05:39"/>
    <s v="Kavya"/>
    <x v="1"/>
    <x v="3"/>
    <s v="Electronics"/>
    <n v="4"/>
    <n v="55500"/>
    <n v="222000"/>
    <x v="2"/>
    <n v="5"/>
  </r>
  <r>
    <n v="1384"/>
    <d v="2026-05-19T03:45:05"/>
    <s v="Ravi"/>
    <x v="3"/>
    <x v="4"/>
    <s v="Electronics"/>
    <n v="1"/>
    <n v="12000"/>
    <n v="12000"/>
    <x v="3"/>
    <n v="4"/>
  </r>
  <r>
    <n v="1385"/>
    <d v="2026-05-19T12:24:32"/>
    <s v="Suresh"/>
    <x v="5"/>
    <x v="5"/>
    <s v="Accessories"/>
    <n v="2"/>
    <n v="2500"/>
    <n v="5000"/>
    <x v="1"/>
    <n v="4"/>
  </r>
  <r>
    <n v="1386"/>
    <d v="2026-05-19T21:03:58"/>
    <s v="Vamsi"/>
    <x v="4"/>
    <x v="1"/>
    <s v="Electronics"/>
    <n v="3"/>
    <n v="22000"/>
    <n v="66000"/>
    <x v="0"/>
    <n v="3"/>
  </r>
  <r>
    <n v="1387"/>
    <d v="2026-05-20T05:43:24"/>
    <s v="Divya"/>
    <x v="4"/>
    <x v="1"/>
    <s v="Electronics"/>
    <n v="1"/>
    <n v="22000"/>
    <n v="22000"/>
    <x v="0"/>
    <n v="4"/>
  </r>
  <r>
    <n v="1388"/>
    <d v="2026-05-20T14:22:51"/>
    <s v="Kavya"/>
    <x v="0"/>
    <x v="3"/>
    <s v="Electronics"/>
    <n v="5"/>
    <n v="55000"/>
    <n v="275000"/>
    <x v="2"/>
    <n v="5"/>
  </r>
  <r>
    <n v="1389"/>
    <d v="2026-05-20T23:02:17"/>
    <s v="Kavya"/>
    <x v="1"/>
    <x v="6"/>
    <s v="Electronics"/>
    <n v="2"/>
    <n v="25000"/>
    <n v="50000"/>
    <x v="3"/>
    <n v="4"/>
  </r>
  <r>
    <n v="1390"/>
    <d v="2026-05-21T07:41:43"/>
    <s v="Suresh"/>
    <x v="0"/>
    <x v="7"/>
    <s v="Accessories"/>
    <n v="4"/>
    <n v="300"/>
    <n v="1200"/>
    <x v="2"/>
    <n v="5"/>
  </r>
  <r>
    <n v="1391"/>
    <d v="2026-05-21T16:21:10"/>
    <s v="Kiran"/>
    <x v="2"/>
    <x v="7"/>
    <s v="Accessories"/>
    <n v="1"/>
    <n v="800"/>
    <n v="800"/>
    <x v="0"/>
    <n v="2"/>
  </r>
  <r>
    <n v="1392"/>
    <d v="2026-05-22T01:00:36"/>
    <s v="Ravi"/>
    <x v="1"/>
    <x v="2"/>
    <s v="Office Equipment"/>
    <n v="3"/>
    <n v="14000"/>
    <n v="42000"/>
    <x v="2"/>
    <n v="3"/>
  </r>
  <r>
    <n v="1393"/>
    <d v="2026-05-22T09:40:02"/>
    <s v="Sneha"/>
    <x v="3"/>
    <x v="0"/>
    <s v="Accessories"/>
    <n v="2"/>
    <n v="1500"/>
    <n v="3000"/>
    <x v="0"/>
    <n v="4"/>
  </r>
  <r>
    <n v="1394"/>
    <d v="2026-05-22T18:19:29"/>
    <s v="Priya"/>
    <x v="5"/>
    <x v="4"/>
    <s v="Electronics"/>
    <n v="2"/>
    <n v="12000"/>
    <n v="24000"/>
    <x v="1"/>
    <n v="4"/>
  </r>
  <r>
    <n v="1395"/>
    <d v="2026-05-23T02:58:55"/>
    <s v="Neha"/>
    <x v="1"/>
    <x v="7"/>
    <s v="Accessories"/>
    <n v="1"/>
    <n v="800"/>
    <n v="800"/>
    <x v="2"/>
    <n v="3"/>
  </r>
  <r>
    <n v="1396"/>
    <d v="2026-05-23T11:38:21"/>
    <s v="Priya"/>
    <x v="4"/>
    <x v="3"/>
    <s v="Electronics"/>
    <n v="1"/>
    <n v="55000"/>
    <n v="55000"/>
    <x v="3"/>
    <n v="5"/>
  </r>
  <r>
    <n v="1397"/>
    <d v="2026-05-23T20:17:48"/>
    <s v="Rahul"/>
    <x v="2"/>
    <x v="0"/>
    <s v="Accessories"/>
    <n v="4"/>
    <n v="1500"/>
    <n v="6000"/>
    <x v="2"/>
    <n v="4"/>
  </r>
  <r>
    <n v="1398"/>
    <d v="2026-05-24T04:57:14"/>
    <s v="Rohan"/>
    <x v="3"/>
    <x v="3"/>
    <s v="Electronics"/>
    <n v="1"/>
    <n v="55000"/>
    <n v="55000"/>
    <x v="2"/>
    <n v="5"/>
  </r>
  <r>
    <n v="1399"/>
    <d v="2026-05-24T13:36:40"/>
    <s v="Meena"/>
    <x v="1"/>
    <x v="4"/>
    <s v="Electronics"/>
    <n v="2"/>
    <n v="12000"/>
    <n v="24000"/>
    <x v="0"/>
    <n v="4"/>
  </r>
  <r>
    <n v="1400"/>
    <d v="2026-05-24T22:16:07"/>
    <s v="Divya"/>
    <x v="0"/>
    <x v="7"/>
    <s v="Accessories"/>
    <n v="2"/>
    <n v="800"/>
    <n v="1600"/>
    <x v="0"/>
    <n v="4"/>
  </r>
  <r>
    <n v="1401"/>
    <d v="2026-05-25T06:55:33"/>
    <s v="Manoj"/>
    <x v="1"/>
    <x v="1"/>
    <s v="Electronics"/>
    <n v="3"/>
    <n v="22000"/>
    <n v="66000"/>
    <x v="0"/>
    <n v="3"/>
  </r>
  <r>
    <n v="1402"/>
    <d v="2026-05-25T15:34:59"/>
    <s v="Anu"/>
    <x v="2"/>
    <x v="7"/>
    <s v="Accessories"/>
    <n v="3"/>
    <n v="800"/>
    <n v="2400"/>
    <x v="0"/>
    <n v="5"/>
  </r>
  <r>
    <n v="1403"/>
    <d v="2026-05-26T00:14:26"/>
    <s v="Sai"/>
    <x v="2"/>
    <x v="3"/>
    <s v="Electronics"/>
    <n v="1"/>
    <n v="55000"/>
    <n v="55000"/>
    <x v="0"/>
    <n v="4"/>
  </r>
  <r>
    <n v="1404"/>
    <d v="2026-05-26T08:53:52"/>
    <s v="Ajay"/>
    <x v="4"/>
    <x v="1"/>
    <s v="Electronics"/>
    <n v="1"/>
    <n v="22000"/>
    <n v="22000"/>
    <x v="2"/>
    <n v="5"/>
  </r>
  <r>
    <n v="1405"/>
    <d v="2026-05-26T17:33:18"/>
    <s v="Ravi"/>
    <x v="1"/>
    <x v="0"/>
    <s v="Accessories"/>
    <n v="4"/>
    <n v="1000"/>
    <n v="4000"/>
    <x v="2"/>
    <n v="5"/>
  </r>
  <r>
    <n v="1406"/>
    <d v="2026-05-27T02:12:45"/>
    <s v="Vamsi"/>
    <x v="5"/>
    <x v="3"/>
    <s v="Electronics"/>
    <n v="1"/>
    <n v="55000"/>
    <n v="55000"/>
    <x v="1"/>
    <n v="5"/>
  </r>
  <r>
    <n v="1407"/>
    <d v="2026-05-27T10:52:11"/>
    <s v="Nikhil"/>
    <x v="4"/>
    <x v="2"/>
    <s v="Office Equipment"/>
    <n v="2"/>
    <n v="14000"/>
    <n v="28000"/>
    <x v="2"/>
    <n v="5"/>
  </r>
  <r>
    <n v="1408"/>
    <d v="2026-05-27T19:31:37"/>
    <s v="Manoj"/>
    <x v="4"/>
    <x v="3"/>
    <s v="Electronics"/>
    <n v="2"/>
    <n v="55000"/>
    <n v="110000"/>
    <x v="2"/>
    <n v="4"/>
  </r>
  <r>
    <n v="1409"/>
    <d v="2026-05-28T04:11:04"/>
    <s v="Manoj"/>
    <x v="5"/>
    <x v="0"/>
    <s v="Accessories"/>
    <n v="1"/>
    <n v="1000"/>
    <n v="1000"/>
    <x v="0"/>
    <n v="5"/>
  </r>
  <r>
    <n v="1410"/>
    <d v="2026-05-28T12:50:30"/>
    <s v="Sai"/>
    <x v="3"/>
    <x v="1"/>
    <s v="Electronics"/>
    <n v="1"/>
    <n v="22000"/>
    <n v="22000"/>
    <x v="1"/>
    <n v="4"/>
  </r>
  <r>
    <n v="1411"/>
    <d v="2026-05-28T21:29:56"/>
    <s v="Divya"/>
    <x v="1"/>
    <x v="6"/>
    <s v="Electronics"/>
    <n v="2"/>
    <n v="25000"/>
    <n v="50000"/>
    <x v="2"/>
    <n v="4"/>
  </r>
  <r>
    <n v="1412"/>
    <d v="2026-05-29T06:09:23"/>
    <s v="Ravi"/>
    <x v="1"/>
    <x v="4"/>
    <s v="Electronics"/>
    <n v="1"/>
    <n v="12000"/>
    <n v="12000"/>
    <x v="0"/>
    <n v="3"/>
  </r>
  <r>
    <n v="1413"/>
    <d v="2026-05-29T14:48:49"/>
    <s v="Pooja"/>
    <x v="5"/>
    <x v="6"/>
    <s v="Electronics"/>
    <n v="3"/>
    <n v="25000"/>
    <n v="75000"/>
    <x v="2"/>
    <n v="4"/>
  </r>
  <r>
    <n v="1414"/>
    <d v="2026-05-29T23:28:15"/>
    <s v="Lakshmi"/>
    <x v="0"/>
    <x v="2"/>
    <s v="Office Equipment"/>
    <n v="3"/>
    <n v="14000"/>
    <n v="42000"/>
    <x v="0"/>
    <n v="5"/>
  </r>
  <r>
    <n v="1415"/>
    <d v="2026-05-30T08:07:42"/>
    <s v="Sai"/>
    <x v="2"/>
    <x v="0"/>
    <s v="Accessories"/>
    <n v="4"/>
    <n v="1500"/>
    <n v="6000"/>
    <x v="1"/>
    <n v="4"/>
  </r>
  <r>
    <n v="1416"/>
    <d v="2026-05-30T16:47:08"/>
    <s v="Ajay"/>
    <x v="2"/>
    <x v="6"/>
    <s v="Electronics"/>
    <n v="1"/>
    <n v="25000"/>
    <n v="25000"/>
    <x v="2"/>
    <n v="5"/>
  </r>
  <r>
    <n v="1417"/>
    <d v="2026-05-31T01:26:34"/>
    <s v="Manoj"/>
    <x v="0"/>
    <x v="3"/>
    <s v="Electronics"/>
    <n v="1"/>
    <n v="55000"/>
    <n v="55000"/>
    <x v="0"/>
    <n v="4"/>
  </r>
  <r>
    <n v="1418"/>
    <d v="2026-05-31T10:06:01"/>
    <s v="Rahul"/>
    <x v="1"/>
    <x v="0"/>
    <s v="Accessories"/>
    <n v="1"/>
    <n v="1500"/>
    <n v="1500"/>
    <x v="2"/>
    <n v="5"/>
  </r>
  <r>
    <n v="1419"/>
    <d v="2026-05-31T18:45:27"/>
    <s v="Sneha"/>
    <x v="4"/>
    <x v="4"/>
    <s v="Electronics"/>
    <n v="2"/>
    <n v="12000"/>
    <n v="24000"/>
    <x v="0"/>
    <n v="5"/>
  </r>
  <r>
    <n v="1420"/>
    <d v="2026-06-01T03:24:53"/>
    <s v="Sneha"/>
    <x v="4"/>
    <x v="6"/>
    <s v="Electronics"/>
    <n v="3"/>
    <n v="25000"/>
    <n v="75000"/>
    <x v="2"/>
    <n v="5"/>
  </r>
  <r>
    <n v="1421"/>
    <d v="2026-06-01T12:04:20"/>
    <s v="Pooja"/>
    <x v="0"/>
    <x v="4"/>
    <s v="Electronics"/>
    <n v="1"/>
    <n v="11500"/>
    <n v="11500"/>
    <x v="2"/>
    <n v="5"/>
  </r>
  <r>
    <n v="1422"/>
    <d v="2026-06-01T20:43:46"/>
    <s v="Sai"/>
    <x v="1"/>
    <x v="7"/>
    <s v="Accessories"/>
    <n v="2"/>
    <n v="800"/>
    <n v="1600"/>
    <x v="3"/>
    <n v="4"/>
  </r>
  <r>
    <n v="1423"/>
    <d v="2026-06-02T05:23:12"/>
    <s v="Neha"/>
    <x v="4"/>
    <x v="6"/>
    <s v="Electronics"/>
    <n v="2"/>
    <n v="25000"/>
    <n v="50000"/>
    <x v="2"/>
    <n v="3"/>
  </r>
  <r>
    <n v="1424"/>
    <d v="2026-06-02T14:02:39"/>
    <s v="Sai"/>
    <x v="4"/>
    <x v="1"/>
    <s v="Electronics"/>
    <n v="2"/>
    <n v="22000"/>
    <n v="44000"/>
    <x v="3"/>
    <n v="5"/>
  </r>
  <r>
    <n v="1425"/>
    <d v="2026-06-02T22:42:05"/>
    <s v="Manoj"/>
    <x v="3"/>
    <x v="0"/>
    <s v="Accessories"/>
    <n v="2"/>
    <n v="1500"/>
    <n v="3000"/>
    <x v="0"/>
    <n v="3"/>
  </r>
  <r>
    <n v="1426"/>
    <d v="2026-06-03T07:21:31"/>
    <s v="Ravi"/>
    <x v="0"/>
    <x v="3"/>
    <s v="Electronics"/>
    <n v="2"/>
    <n v="55000"/>
    <n v="110000"/>
    <x v="0"/>
    <n v="5"/>
  </r>
  <r>
    <n v="1427"/>
    <d v="2026-06-03T16:00:58"/>
    <s v="Anu"/>
    <x v="3"/>
    <x v="0"/>
    <s v="Accessories"/>
    <n v="4"/>
    <n v="2000"/>
    <n v="8000"/>
    <x v="1"/>
    <n v="5"/>
  </r>
  <r>
    <n v="1428"/>
    <d v="2026-06-04T00:40:24"/>
    <s v="Arjun"/>
    <x v="3"/>
    <x v="4"/>
    <s v="Electronics"/>
    <n v="1"/>
    <n v="12000"/>
    <n v="12000"/>
    <x v="1"/>
    <n v="4"/>
  </r>
  <r>
    <n v="1429"/>
    <d v="2026-06-04T09:19:50"/>
    <s v="Sai"/>
    <x v="5"/>
    <x v="1"/>
    <s v="Electronics"/>
    <n v="2"/>
    <n v="22000"/>
    <n v="44000"/>
    <x v="2"/>
    <n v="4"/>
  </r>
  <r>
    <n v="1430"/>
    <d v="2026-06-04T17:59:17"/>
    <s v="Kavya"/>
    <x v="4"/>
    <x v="4"/>
    <s v="Electronics"/>
    <n v="1"/>
    <n v="12000"/>
    <n v="12000"/>
    <x v="1"/>
    <n v="5"/>
  </r>
  <r>
    <n v="1431"/>
    <d v="2026-06-05T02:38:43"/>
    <s v="Anu"/>
    <x v="3"/>
    <x v="7"/>
    <s v="Accessories"/>
    <n v="1"/>
    <n v="800"/>
    <n v="800"/>
    <x v="0"/>
    <n v="2"/>
  </r>
  <r>
    <n v="1432"/>
    <d v="2026-06-05T11:18:09"/>
    <s v="Rohan"/>
    <x v="4"/>
    <x v="1"/>
    <s v="Electronics"/>
    <n v="2"/>
    <n v="22000"/>
    <n v="44000"/>
    <x v="0"/>
    <n v="5"/>
  </r>
  <r>
    <n v="1433"/>
    <d v="2026-06-05T19:57:36"/>
    <s v="Sneha"/>
    <x v="3"/>
    <x v="2"/>
    <s v="Office Equipment"/>
    <n v="1"/>
    <n v="14000"/>
    <n v="14000"/>
    <x v="2"/>
    <n v="5"/>
  </r>
  <r>
    <n v="1434"/>
    <d v="2026-06-06T04:37:02"/>
    <s v="Pooja"/>
    <x v="2"/>
    <x v="7"/>
    <s v="Accessories"/>
    <n v="2"/>
    <n v="800"/>
    <n v="1600"/>
    <x v="3"/>
    <n v="5"/>
  </r>
  <r>
    <n v="1435"/>
    <d v="2026-06-06T13:16:28"/>
    <s v="Neha"/>
    <x v="1"/>
    <x v="0"/>
    <s v="Accessories"/>
    <n v="2"/>
    <n v="1500"/>
    <n v="3000"/>
    <x v="0"/>
    <n v="4"/>
  </r>
  <r>
    <n v="1436"/>
    <d v="2026-06-06T21:55:55"/>
    <s v="Arjun"/>
    <x v="1"/>
    <x v="1"/>
    <s v="Electronics"/>
    <n v="1"/>
    <n v="22000"/>
    <n v="22000"/>
    <x v="2"/>
    <n v="3"/>
  </r>
  <r>
    <n v="1437"/>
    <d v="2026-06-07T06:35:21"/>
    <s v="Suresh"/>
    <x v="2"/>
    <x v="7"/>
    <s v="Accessories"/>
    <n v="1"/>
    <n v="1300"/>
    <n v="1300"/>
    <x v="0"/>
    <n v="5"/>
  </r>
  <r>
    <n v="1438"/>
    <d v="2026-06-07T15:14:47"/>
    <s v="Arjun"/>
    <x v="4"/>
    <x v="0"/>
    <s v="Accessories"/>
    <n v="1"/>
    <n v="1500"/>
    <n v="1500"/>
    <x v="1"/>
    <n v="5"/>
  </r>
  <r>
    <n v="1439"/>
    <d v="2026-06-07T23:54:14"/>
    <s v="Nikhil"/>
    <x v="5"/>
    <x v="0"/>
    <s v="Accessories"/>
    <n v="3"/>
    <n v="1500"/>
    <n v="4500"/>
    <x v="0"/>
    <n v="5"/>
  </r>
  <r>
    <n v="1440"/>
    <d v="2026-06-08T08:33:40"/>
    <s v="Nikhil"/>
    <x v="0"/>
    <x v="7"/>
    <s v="Accessories"/>
    <n v="1"/>
    <n v="1300"/>
    <n v="1300"/>
    <x v="3"/>
    <n v="5"/>
  </r>
  <r>
    <n v="1441"/>
    <d v="2026-06-08T17:13:06"/>
    <s v="Vamsi"/>
    <x v="2"/>
    <x v="7"/>
    <s v="Accessories"/>
    <n v="4"/>
    <n v="800"/>
    <n v="3200"/>
    <x v="1"/>
    <n v="5"/>
  </r>
  <r>
    <n v="1442"/>
    <d v="2026-06-09T01:52:33"/>
    <s v="Suresh"/>
    <x v="4"/>
    <x v="5"/>
    <s v="Accessories"/>
    <n v="2"/>
    <n v="2500"/>
    <n v="5000"/>
    <x v="0"/>
    <n v="4"/>
  </r>
  <r>
    <n v="1443"/>
    <d v="2026-06-09T10:31:59"/>
    <s v="Lakshmi"/>
    <x v="1"/>
    <x v="2"/>
    <s v="Office Equipment"/>
    <n v="3"/>
    <n v="14000"/>
    <n v="42000"/>
    <x v="3"/>
    <n v="5"/>
  </r>
  <r>
    <n v="1444"/>
    <d v="2026-06-09T19:11:25"/>
    <s v="Kavya"/>
    <x v="4"/>
    <x v="4"/>
    <s v="Electronics"/>
    <n v="1"/>
    <n v="12000"/>
    <n v="12000"/>
    <x v="2"/>
    <n v="3"/>
  </r>
  <r>
    <n v="1445"/>
    <d v="2026-06-10T03:50:52"/>
    <s v="Arjun"/>
    <x v="5"/>
    <x v="4"/>
    <s v="Electronics"/>
    <n v="1"/>
    <n v="12000"/>
    <n v="12000"/>
    <x v="2"/>
    <n v="3"/>
  </r>
  <r>
    <n v="1446"/>
    <d v="2026-06-10T12:30:18"/>
    <s v="Neha"/>
    <x v="1"/>
    <x v="1"/>
    <s v="Electronics"/>
    <n v="1"/>
    <n v="22000"/>
    <n v="22000"/>
    <x v="0"/>
    <n v="5"/>
  </r>
  <r>
    <n v="1447"/>
    <d v="2026-06-10T21:09:44"/>
    <s v="Kiran"/>
    <x v="3"/>
    <x v="4"/>
    <s v="Electronics"/>
    <n v="1"/>
    <n v="12000"/>
    <n v="12000"/>
    <x v="2"/>
    <n v="4"/>
  </r>
  <r>
    <n v="1448"/>
    <d v="2026-06-11T05:49:11"/>
    <s v="Neha"/>
    <x v="3"/>
    <x v="4"/>
    <s v="Electronics"/>
    <n v="1"/>
    <n v="12000"/>
    <n v="12000"/>
    <x v="0"/>
    <n v="4"/>
  </r>
  <r>
    <n v="1449"/>
    <d v="2026-06-11T14:28:37"/>
    <s v="Pooja"/>
    <x v="3"/>
    <x v="1"/>
    <s v="Electronics"/>
    <n v="1"/>
    <n v="22000"/>
    <n v="22000"/>
    <x v="2"/>
    <n v="5"/>
  </r>
  <r>
    <n v="1450"/>
    <d v="2026-06-11T23:08:03"/>
    <s v="Kiran"/>
    <x v="2"/>
    <x v="0"/>
    <s v="Accessories"/>
    <n v="2"/>
    <n v="1500"/>
    <n v="3000"/>
    <x v="0"/>
    <n v="4"/>
  </r>
  <r>
    <n v="1451"/>
    <d v="2026-06-12T07:47:30"/>
    <s v="Sneha"/>
    <x v="3"/>
    <x v="3"/>
    <s v="Electronics"/>
    <n v="1"/>
    <n v="55500"/>
    <n v="55500"/>
    <x v="0"/>
    <n v="5"/>
  </r>
  <r>
    <n v="1452"/>
    <d v="2026-06-12T16:26:56"/>
    <s v="Neha"/>
    <x v="4"/>
    <x v="6"/>
    <s v="Electronics"/>
    <n v="1"/>
    <n v="25000"/>
    <n v="25000"/>
    <x v="0"/>
    <n v="4"/>
  </r>
  <r>
    <n v="1453"/>
    <d v="2026-06-13T01:06:22"/>
    <s v="Rohan"/>
    <x v="1"/>
    <x v="7"/>
    <s v="Accessories"/>
    <n v="2"/>
    <n v="800"/>
    <n v="1600"/>
    <x v="1"/>
    <n v="5"/>
  </r>
  <r>
    <n v="1454"/>
    <d v="2026-06-13T09:45:49"/>
    <s v="Suresh"/>
    <x v="1"/>
    <x v="3"/>
    <s v="Electronics"/>
    <n v="2"/>
    <n v="55000"/>
    <n v="110000"/>
    <x v="1"/>
    <n v="4"/>
  </r>
  <r>
    <n v="1455"/>
    <d v="2026-06-13T18:25:15"/>
    <s v="Anu"/>
    <x v="2"/>
    <x v="3"/>
    <s v="Electronics"/>
    <n v="1"/>
    <n v="54500"/>
    <n v="54500"/>
    <x v="0"/>
    <n v="3"/>
  </r>
  <r>
    <n v="1456"/>
    <d v="2026-06-14T03:04:41"/>
    <s v="Manoj"/>
    <x v="5"/>
    <x v="1"/>
    <s v="Electronics"/>
    <n v="1"/>
    <n v="21500"/>
    <n v="21500"/>
    <x v="0"/>
    <n v="4"/>
  </r>
  <r>
    <n v="1457"/>
    <d v="2026-06-14T11:44:08"/>
    <s v="Rohan"/>
    <x v="1"/>
    <x v="6"/>
    <s v="Electronics"/>
    <n v="1"/>
    <n v="25000"/>
    <n v="25000"/>
    <x v="2"/>
    <n v="4"/>
  </r>
  <r>
    <n v="1458"/>
    <d v="2026-06-14T20:23:34"/>
    <s v="Sneha"/>
    <x v="1"/>
    <x v="4"/>
    <s v="Electronics"/>
    <n v="1"/>
    <n v="12000"/>
    <n v="12000"/>
    <x v="0"/>
    <n v="2"/>
  </r>
  <r>
    <n v="1459"/>
    <d v="2026-06-15T05:03:00"/>
    <s v="Lakshmi"/>
    <x v="0"/>
    <x v="1"/>
    <s v="Electronics"/>
    <n v="1"/>
    <n v="22000"/>
    <n v="22000"/>
    <x v="2"/>
    <n v="4"/>
  </r>
  <r>
    <n v="1460"/>
    <d v="2026-06-15T13:42:27"/>
    <s v="Rohan"/>
    <x v="4"/>
    <x v="6"/>
    <s v="Electronics"/>
    <n v="3"/>
    <n v="25000"/>
    <n v="75000"/>
    <x v="2"/>
    <n v="4"/>
  </r>
  <r>
    <n v="1461"/>
    <d v="2026-06-15T22:21:53"/>
    <s v="Arjun"/>
    <x v="4"/>
    <x v="5"/>
    <s v="Accessories"/>
    <n v="1"/>
    <n v="3000"/>
    <n v="3000"/>
    <x v="0"/>
    <n v="3"/>
  </r>
  <r>
    <n v="1462"/>
    <d v="2026-06-16T07:01:19"/>
    <s v="Priya"/>
    <x v="3"/>
    <x v="1"/>
    <s v="Electronics"/>
    <n v="1"/>
    <n v="22000"/>
    <n v="22000"/>
    <x v="2"/>
    <n v="5"/>
  </r>
  <r>
    <n v="1463"/>
    <d v="2026-06-16T15:40:46"/>
    <s v="Kavya"/>
    <x v="4"/>
    <x v="7"/>
    <s v="Accessories"/>
    <n v="2"/>
    <n v="800"/>
    <n v="1600"/>
    <x v="2"/>
    <n v="4"/>
  </r>
  <r>
    <n v="1464"/>
    <d v="2026-06-17T00:20:12"/>
    <s v="Sai"/>
    <x v="5"/>
    <x v="7"/>
    <s v="Accessories"/>
    <n v="1"/>
    <n v="300"/>
    <n v="300"/>
    <x v="0"/>
    <n v="5"/>
  </r>
  <r>
    <n v="1465"/>
    <d v="2026-06-17T08:59:38"/>
    <s v="Ravi"/>
    <x v="3"/>
    <x v="0"/>
    <s v="Accessories"/>
    <n v="2"/>
    <n v="1500"/>
    <n v="3000"/>
    <x v="0"/>
    <n v="4"/>
  </r>
  <r>
    <n v="1466"/>
    <d v="2026-06-17T17:39:05"/>
    <s v="Rahul"/>
    <x v="1"/>
    <x v="6"/>
    <s v="Electronics"/>
    <n v="1"/>
    <n v="25000"/>
    <n v="25000"/>
    <x v="1"/>
    <n v="5"/>
  </r>
  <r>
    <n v="1467"/>
    <d v="2026-06-18T02:18:31"/>
    <s v="Nikhil"/>
    <x v="5"/>
    <x v="6"/>
    <s v="Electronics"/>
    <n v="1"/>
    <n v="25000"/>
    <n v="25000"/>
    <x v="0"/>
    <n v="5"/>
  </r>
  <r>
    <n v="1468"/>
    <d v="2026-06-18T10:57:57"/>
    <s v="Neha"/>
    <x v="2"/>
    <x v="2"/>
    <s v="Office Equipment"/>
    <n v="1"/>
    <n v="14000"/>
    <n v="14000"/>
    <x v="0"/>
    <n v="4"/>
  </r>
  <r>
    <n v="1469"/>
    <d v="2026-06-18T19:37:24"/>
    <s v="Nikhil"/>
    <x v="2"/>
    <x v="2"/>
    <s v="Office Equipment"/>
    <n v="2"/>
    <n v="14000"/>
    <n v="28000"/>
    <x v="0"/>
    <n v="4"/>
  </r>
  <r>
    <n v="1470"/>
    <d v="2026-06-19T04:16:50"/>
    <s v="Arjun"/>
    <x v="0"/>
    <x v="3"/>
    <s v="Electronics"/>
    <n v="2"/>
    <n v="55000"/>
    <n v="110000"/>
    <x v="0"/>
    <n v="5"/>
  </r>
  <r>
    <n v="1471"/>
    <d v="2026-06-19T12:56:16"/>
    <s v="Ajay"/>
    <x v="3"/>
    <x v="2"/>
    <s v="Office Equipment"/>
    <n v="2"/>
    <n v="13500"/>
    <n v="27000"/>
    <x v="0"/>
    <n v="4"/>
  </r>
  <r>
    <n v="1472"/>
    <d v="2026-06-19T21:35:43"/>
    <s v="Priya"/>
    <x v="3"/>
    <x v="6"/>
    <s v="Electronics"/>
    <n v="1"/>
    <n v="24500"/>
    <n v="24500"/>
    <x v="2"/>
    <n v="5"/>
  </r>
  <r>
    <n v="1473"/>
    <d v="2026-06-20T06:15:09"/>
    <s v="Kavya"/>
    <x v="3"/>
    <x v="0"/>
    <s v="Accessories"/>
    <n v="2"/>
    <n v="1500"/>
    <n v="3000"/>
    <x v="0"/>
    <n v="4"/>
  </r>
  <r>
    <n v="1474"/>
    <d v="2026-06-20T14:54:35"/>
    <s v="Neha"/>
    <x v="5"/>
    <x v="4"/>
    <s v="Electronics"/>
    <n v="3"/>
    <n v="12500"/>
    <n v="37500"/>
    <x v="1"/>
    <n v="5"/>
  </r>
  <r>
    <n v="1475"/>
    <d v="2026-06-20T23:34:02"/>
    <s v="Priya"/>
    <x v="3"/>
    <x v="1"/>
    <s v="Electronics"/>
    <n v="1"/>
    <n v="22000"/>
    <n v="22000"/>
    <x v="2"/>
    <n v="4"/>
  </r>
  <r>
    <n v="1476"/>
    <d v="2026-06-21T08:13:28"/>
    <s v="Sneha"/>
    <x v="4"/>
    <x v="3"/>
    <s v="Electronics"/>
    <n v="2"/>
    <n v="55000"/>
    <n v="110000"/>
    <x v="1"/>
    <n v="4"/>
  </r>
  <r>
    <n v="1477"/>
    <d v="2026-06-21T16:52:54"/>
    <s v="Kavya"/>
    <x v="3"/>
    <x v="1"/>
    <s v="Electronics"/>
    <n v="1"/>
    <n v="22000"/>
    <n v="22000"/>
    <x v="0"/>
    <n v="2"/>
  </r>
  <r>
    <n v="1478"/>
    <d v="2026-06-22T01:32:21"/>
    <s v="Ajay"/>
    <x v="1"/>
    <x v="5"/>
    <s v="Accessories"/>
    <n v="1"/>
    <n v="2500"/>
    <n v="2500"/>
    <x v="2"/>
    <n v="5"/>
  </r>
  <r>
    <n v="1479"/>
    <d v="2026-06-22T10:11:47"/>
    <s v="Manoj"/>
    <x v="0"/>
    <x v="3"/>
    <s v="Electronics"/>
    <n v="2"/>
    <n v="55000"/>
    <n v="110000"/>
    <x v="2"/>
    <n v="4"/>
  </r>
  <r>
    <n v="1480"/>
    <d v="2026-06-22T18:51:13"/>
    <s v="Nikhil"/>
    <x v="2"/>
    <x v="4"/>
    <s v="Electronics"/>
    <n v="3"/>
    <n v="11500"/>
    <n v="34500"/>
    <x v="0"/>
    <n v="4"/>
  </r>
  <r>
    <n v="1481"/>
    <d v="2026-06-23T03:30:40"/>
    <s v="Arjun"/>
    <x v="3"/>
    <x v="7"/>
    <s v="Accessories"/>
    <n v="1"/>
    <n v="800"/>
    <n v="800"/>
    <x v="2"/>
    <n v="5"/>
  </r>
  <r>
    <n v="1482"/>
    <d v="2026-06-23T12:10:06"/>
    <s v="Anu"/>
    <x v="4"/>
    <x v="3"/>
    <s v="Electronics"/>
    <n v="4"/>
    <n v="55000"/>
    <n v="220000"/>
    <x v="2"/>
    <n v="4"/>
  </r>
  <r>
    <n v="1483"/>
    <d v="2026-06-23T20:49:32"/>
    <s v="Lakshmi"/>
    <x v="4"/>
    <x v="6"/>
    <s v="Electronics"/>
    <n v="1"/>
    <n v="25000"/>
    <n v="25000"/>
    <x v="3"/>
    <n v="4"/>
  </r>
  <r>
    <n v="1484"/>
    <d v="2026-06-24T05:28:59"/>
    <s v="Ravi"/>
    <x v="3"/>
    <x v="7"/>
    <s v="Accessories"/>
    <n v="3"/>
    <n v="800"/>
    <n v="2400"/>
    <x v="3"/>
    <n v="3"/>
  </r>
  <r>
    <n v="1485"/>
    <d v="2026-06-24T14:08:25"/>
    <s v="Anu"/>
    <x v="0"/>
    <x v="6"/>
    <s v="Electronics"/>
    <n v="1"/>
    <n v="25000"/>
    <n v="25000"/>
    <x v="2"/>
    <n v="4"/>
  </r>
  <r>
    <n v="1486"/>
    <d v="2026-06-24T22:47:51"/>
    <s v="Sai"/>
    <x v="0"/>
    <x v="3"/>
    <s v="Electronics"/>
    <n v="3"/>
    <n v="55000"/>
    <n v="165000"/>
    <x v="0"/>
    <n v="4"/>
  </r>
  <r>
    <n v="1487"/>
    <d v="2026-06-25T07:27:18"/>
    <s v="Sneha"/>
    <x v="1"/>
    <x v="5"/>
    <s v="Accessories"/>
    <n v="1"/>
    <n v="2500"/>
    <n v="2500"/>
    <x v="0"/>
    <n v="5"/>
  </r>
  <r>
    <n v="1488"/>
    <d v="2026-06-25T16:06:44"/>
    <s v="Anu"/>
    <x v="5"/>
    <x v="0"/>
    <s v="Accessories"/>
    <n v="2"/>
    <n v="1500"/>
    <n v="3000"/>
    <x v="0"/>
    <n v="3"/>
  </r>
  <r>
    <n v="1489"/>
    <d v="2026-06-26T00:46:10"/>
    <s v="Vamsi"/>
    <x v="1"/>
    <x v="7"/>
    <s v="Accessories"/>
    <n v="2"/>
    <n v="800"/>
    <n v="1600"/>
    <x v="2"/>
    <n v="5"/>
  </r>
  <r>
    <n v="1490"/>
    <d v="2026-06-26T09:25:37"/>
    <s v="Neha"/>
    <x v="2"/>
    <x v="3"/>
    <s v="Electronics"/>
    <n v="4"/>
    <n v="55000"/>
    <n v="220000"/>
    <x v="0"/>
    <n v="4"/>
  </r>
  <r>
    <n v="1491"/>
    <d v="2026-06-26T18:05:03"/>
    <s v="Kiran"/>
    <x v="1"/>
    <x v="1"/>
    <s v="Electronics"/>
    <n v="3"/>
    <n v="22000"/>
    <n v="66000"/>
    <x v="2"/>
    <n v="4"/>
  </r>
  <r>
    <n v="1492"/>
    <d v="2026-06-27T02:44:29"/>
    <s v="Manoj"/>
    <x v="3"/>
    <x v="7"/>
    <s v="Accessories"/>
    <n v="1"/>
    <n v="800"/>
    <n v="800"/>
    <x v="2"/>
    <n v="4"/>
  </r>
  <r>
    <n v="1493"/>
    <d v="2026-06-27T11:23:56"/>
    <s v="Rohan"/>
    <x v="1"/>
    <x v="7"/>
    <s v="Accessories"/>
    <n v="3"/>
    <n v="800"/>
    <n v="2400"/>
    <x v="3"/>
    <n v="5"/>
  </r>
  <r>
    <n v="1494"/>
    <d v="2026-06-27T20:03:22"/>
    <s v="Kiran"/>
    <x v="5"/>
    <x v="5"/>
    <s v="Accessories"/>
    <n v="2"/>
    <n v="2500"/>
    <n v="5000"/>
    <x v="2"/>
    <n v="4"/>
  </r>
  <r>
    <n v="1495"/>
    <d v="2026-06-28T04:42:48"/>
    <s v="Priya"/>
    <x v="5"/>
    <x v="5"/>
    <s v="Accessories"/>
    <n v="1"/>
    <n v="2500"/>
    <n v="2500"/>
    <x v="2"/>
    <n v="4"/>
  </r>
  <r>
    <n v="1496"/>
    <d v="2026-06-28T13:22:15"/>
    <s v="Sai"/>
    <x v="0"/>
    <x v="7"/>
    <s v="Accessories"/>
    <n v="1"/>
    <n v="300"/>
    <n v="300"/>
    <x v="1"/>
    <n v="3"/>
  </r>
  <r>
    <n v="1497"/>
    <d v="2026-06-28T22:01:41"/>
    <s v="Neha"/>
    <x v="1"/>
    <x v="4"/>
    <s v="Electronics"/>
    <n v="2"/>
    <n v="12000"/>
    <n v="24000"/>
    <x v="0"/>
    <n v="4"/>
  </r>
  <r>
    <n v="1498"/>
    <d v="2026-06-29T06:41:07"/>
    <s v="Divya"/>
    <x v="4"/>
    <x v="7"/>
    <s v="Accessories"/>
    <n v="1"/>
    <n v="800"/>
    <n v="800"/>
    <x v="2"/>
    <n v="4"/>
  </r>
  <r>
    <n v="1499"/>
    <d v="2026-06-29T15:20:34"/>
    <s v="Ajay"/>
    <x v="0"/>
    <x v="5"/>
    <s v="Accessories"/>
    <n v="2"/>
    <n v="2500"/>
    <n v="5000"/>
    <x v="0"/>
    <n v="4"/>
  </r>
  <r>
    <n v="1500"/>
    <d v="2026-06-30T00:00:00"/>
    <s v="Kavya"/>
    <x v="5"/>
    <x v="0"/>
    <s v="Accessories"/>
    <n v="3"/>
    <n v="1500"/>
    <n v="4500"/>
    <x v="2"/>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7E6551-C291-4515-8CC2-D8D67E70C09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1">
    <pivotField showAll="0"/>
    <pivotField numFmtId="164" showAll="0"/>
    <pivotField showAll="0"/>
    <pivotField axis="axisRow" showAll="0">
      <items count="7">
        <item x="1"/>
        <item x="4"/>
        <item x="3"/>
        <item x="0"/>
        <item x="2"/>
        <item x="5"/>
        <item t="default"/>
      </items>
    </pivotField>
    <pivotField showAll="0"/>
    <pivotField showAll="0"/>
    <pivotField showAll="0"/>
    <pivotField showAll="0"/>
    <pivotField dataField="1" showAll="0"/>
    <pivotField showAll="0"/>
    <pivotField showAll="0"/>
  </pivotFields>
  <rowFields count="1">
    <field x="3"/>
  </rowFields>
  <rowItems count="7">
    <i>
      <x/>
    </i>
    <i>
      <x v="1"/>
    </i>
    <i>
      <x v="2"/>
    </i>
    <i>
      <x v="3"/>
    </i>
    <i>
      <x v="4"/>
    </i>
    <i>
      <x v="5"/>
    </i>
    <i t="grand">
      <x/>
    </i>
  </rowItems>
  <colItems count="1">
    <i/>
  </colItems>
  <dataFields count="1">
    <dataField name="Sum of Sales"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473C1C-1CB2-489E-A823-62EA7A5309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1">
    <pivotField showAll="0"/>
    <pivotField numFmtId="164" showAll="0"/>
    <pivotField showAll="0"/>
    <pivotField showAll="0"/>
    <pivotField axis="axisRow" showAll="0">
      <items count="9">
        <item x="5"/>
        <item x="0"/>
        <item x="3"/>
        <item x="6"/>
        <item x="4"/>
        <item x="7"/>
        <item x="2"/>
        <item x="1"/>
        <item t="default"/>
      </items>
    </pivotField>
    <pivotField showAll="0"/>
    <pivotField showAll="0"/>
    <pivotField showAll="0"/>
    <pivotField dataField="1" showAll="0"/>
    <pivotField showAll="0"/>
    <pivotField showAll="0"/>
  </pivotFields>
  <rowFields count="1">
    <field x="4"/>
  </rowFields>
  <rowItems count="9">
    <i>
      <x/>
    </i>
    <i>
      <x v="1"/>
    </i>
    <i>
      <x v="2"/>
    </i>
    <i>
      <x v="3"/>
    </i>
    <i>
      <x v="4"/>
    </i>
    <i>
      <x v="5"/>
    </i>
    <i>
      <x v="6"/>
    </i>
    <i>
      <x v="7"/>
    </i>
    <i t="grand">
      <x/>
    </i>
  </rowItems>
  <colItems count="1">
    <i/>
  </colItems>
  <dataFields count="1">
    <dataField name="Sum of Sales"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817FD7-6728-4234-8383-33DCF50BDFC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1">
    <pivotField showAll="0"/>
    <pivotField numFmtId="164" showAll="0"/>
    <pivotField showAll="0"/>
    <pivotField showAll="0"/>
    <pivotField showAll="0"/>
    <pivotField showAll="0"/>
    <pivotField showAll="0"/>
    <pivotField showAll="0"/>
    <pivotField dataField="1" showAll="0"/>
    <pivotField axis="axisRow" showAll="0">
      <items count="5">
        <item x="2"/>
        <item x="3"/>
        <item x="1"/>
        <item x="0"/>
        <item t="default"/>
      </items>
    </pivotField>
    <pivotField showAll="0"/>
  </pivotFields>
  <rowFields count="1">
    <field x="9"/>
  </rowFields>
  <rowItems count="5">
    <i>
      <x/>
    </i>
    <i>
      <x v="1"/>
    </i>
    <i>
      <x v="2"/>
    </i>
    <i>
      <x v="3"/>
    </i>
    <i t="grand">
      <x/>
    </i>
  </rowItems>
  <colItems count="1">
    <i/>
  </colItems>
  <dataFields count="1">
    <dataField name="Sum of Sales" fld="8"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A81560-DCDF-4EBA-9BC3-C37A2E067C2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1">
    <pivotField showAll="0"/>
    <pivotField numFmtId="164" showAll="0"/>
    <pivotField showAll="0"/>
    <pivotField axis="axisRow" showAll="0">
      <items count="7">
        <item x="1"/>
        <item x="4"/>
        <item x="3"/>
        <item x="0"/>
        <item x="2"/>
        <item x="5"/>
        <item t="default"/>
      </items>
    </pivotField>
    <pivotField showAll="0"/>
    <pivotField showAll="0"/>
    <pivotField showAll="0"/>
    <pivotField showAll="0"/>
    <pivotField showAll="0"/>
    <pivotField showAll="0"/>
    <pivotField dataField="1" showAll="0"/>
  </pivotFields>
  <rowFields count="1">
    <field x="3"/>
  </rowFields>
  <rowItems count="7">
    <i>
      <x/>
    </i>
    <i>
      <x v="1"/>
    </i>
    <i>
      <x v="2"/>
    </i>
    <i>
      <x v="3"/>
    </i>
    <i>
      <x v="4"/>
    </i>
    <i>
      <x v="5"/>
    </i>
    <i t="grand">
      <x/>
    </i>
  </rowItems>
  <colItems count="1">
    <i/>
  </colItems>
  <dataFields count="1">
    <dataField name="Average of Rating" fld="10" subtotal="average" baseField="3"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E6A118B-A3A8-4DA1-BA16-EA4C2AD23B19}" sourceName="City">
  <pivotTables>
    <pivotTable tabId="10" name="PivotTable4"/>
    <pivotTable tabId="13" name="PivotTable7"/>
  </pivotTables>
  <data>
    <tabular pivotCacheId="1173277116">
      <items count="6">
        <i x="1" s="1"/>
        <i x="4" s="1"/>
        <i x="3" s="1"/>
        <i x="0"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4CEE330-2BC5-48D6-B355-7C0A11300E7E}"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EBF6F2-DA36-461D-991E-944DDC89E7C9}" name="Table35" displayName="Table35" ref="A1:K501" totalsRowShown="0" headerRowDxfId="7" headerRowBorderDxfId="6" tableBorderDxfId="5">
  <autoFilter ref="A1:K501" xr:uid="{FD718733-3AFB-4106-ABA2-1221F1B50EB0}"/>
  <tableColumns count="11">
    <tableColumn id="1" xr3:uid="{0BD12FD2-4375-4F93-A138-98049BE83509}" name="Order_ID"/>
    <tableColumn id="2" xr3:uid="{EF69AE7B-91A6-4B33-8CF4-BBCF1CCFA00A}" name="Date" dataDxfId="4"/>
    <tableColumn id="3" xr3:uid="{33EAD82A-C426-4AD3-A468-7E9BFAE483A4}" name="Customer"/>
    <tableColumn id="4" xr3:uid="{E63E3996-C028-47D9-9548-2789BC1F3950}" name="City"/>
    <tableColumn id="5" xr3:uid="{CE87FC1E-0089-42D9-9A28-F0DEBE9B85A1}" name="Product"/>
    <tableColumn id="6" xr3:uid="{A342BA34-C3FC-4CB5-9CBE-021A9C2E5A90}" name="Category"/>
    <tableColumn id="7" xr3:uid="{8D605B8B-067B-4CAA-8B8F-A093C3422CB2}" name="Quantity"/>
    <tableColumn id="8" xr3:uid="{C011FB28-214D-4FE9-ADE0-46FB60860275}" name="Unit_Price"/>
    <tableColumn id="9" xr3:uid="{EF959A48-155F-4B2A-856D-911AEA39C763}" name="Sales"/>
    <tableColumn id="10" xr3:uid="{01CBA3FA-2C6F-4D63-9BA5-A80346BB2125}" name="Payment"/>
    <tableColumn id="11" xr3:uid="{A71BBA55-77B1-4928-9059-F42F28687727}" name="Rating"/>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718733-3AFB-4106-ABA2-1221F1B50EB0}" name="Table3" displayName="Table3" ref="A1:K501" totalsRowShown="0" headerRowDxfId="3" headerRowBorderDxfId="2" tableBorderDxfId="1">
  <autoFilter ref="A1:K501" xr:uid="{FD718733-3AFB-4106-ABA2-1221F1B50EB0}"/>
  <tableColumns count="11">
    <tableColumn id="1" xr3:uid="{65C1D030-DD95-4F38-AEB6-C25CE4842174}" name="Order_ID"/>
    <tableColumn id="2" xr3:uid="{14009F73-CF8D-40E1-A74D-BF4CACE66F02}" name="Date" dataDxfId="0"/>
    <tableColumn id="3" xr3:uid="{B32CFE40-8BB4-459C-A22C-5DD4035AD7D5}" name="Customer"/>
    <tableColumn id="4" xr3:uid="{0CED3148-2862-4103-81E2-93E6A3E96CB8}" name="City"/>
    <tableColumn id="5" xr3:uid="{C87AAEB7-9A5F-4C0A-9570-874C28F938EA}" name="Product"/>
    <tableColumn id="6" xr3:uid="{4CD81269-9785-4597-91E7-CE44D6FD7CD0}" name="Category"/>
    <tableColumn id="7" xr3:uid="{A799713B-4D76-4191-AA53-CB5F3D2ED61F}" name="Quantity"/>
    <tableColumn id="8" xr3:uid="{379004EB-7F02-40C2-B037-8927EB29F66C}" name="Unit_Price"/>
    <tableColumn id="9" xr3:uid="{22E70738-0346-4E49-A4F9-CB88E0C2DD5D}" name="Sales"/>
    <tableColumn id="10" xr3:uid="{3D3860CB-4CD4-40C6-BA22-5DB054B71375}" name="Payment"/>
    <tableColumn id="11" xr3:uid="{51A89624-82C2-4DE2-B21C-28181A287657}" name="Rat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EDCF6-534F-4D50-93E5-7CCBA040153A}">
  <dimension ref="A3:I15"/>
  <sheetViews>
    <sheetView workbookViewId="0">
      <selection activeCell="B8" sqref="B8"/>
    </sheetView>
  </sheetViews>
  <sheetFormatPr defaultRowHeight="14.4" x14ac:dyDescent="0.3"/>
  <cols>
    <col min="1" max="1" width="13.5546875" bestFit="1" customWidth="1"/>
    <col min="2" max="2" width="11.6640625" bestFit="1" customWidth="1"/>
  </cols>
  <sheetData>
    <row r="3" spans="1:9" x14ac:dyDescent="0.3">
      <c r="A3" s="4" t="s">
        <v>67</v>
      </c>
      <c r="B3" t="s">
        <v>69</v>
      </c>
    </row>
    <row r="4" spans="1:9" x14ac:dyDescent="0.3">
      <c r="A4" s="5" t="s">
        <v>17</v>
      </c>
      <c r="B4">
        <v>2978100</v>
      </c>
    </row>
    <row r="5" spans="1:9" x14ac:dyDescent="0.3">
      <c r="A5" s="5" t="s">
        <v>38</v>
      </c>
      <c r="B5">
        <v>3389100</v>
      </c>
    </row>
    <row r="6" spans="1:9" x14ac:dyDescent="0.3">
      <c r="A6" s="5" t="s">
        <v>26</v>
      </c>
      <c r="B6">
        <v>2288700</v>
      </c>
    </row>
    <row r="7" spans="1:9" x14ac:dyDescent="0.3">
      <c r="A7" s="5" t="s">
        <v>12</v>
      </c>
      <c r="B7">
        <v>2880300</v>
      </c>
    </row>
    <row r="8" spans="1:9" x14ac:dyDescent="0.3">
      <c r="A8" s="5" t="s">
        <v>22</v>
      </c>
      <c r="B8">
        <v>2789100</v>
      </c>
    </row>
    <row r="9" spans="1:9" x14ac:dyDescent="0.3">
      <c r="A9" s="5" t="s">
        <v>44</v>
      </c>
      <c r="B9">
        <v>2705500</v>
      </c>
    </row>
    <row r="10" spans="1:9" x14ac:dyDescent="0.3">
      <c r="A10" s="5" t="s">
        <v>68</v>
      </c>
      <c r="B10">
        <v>17030800</v>
      </c>
    </row>
    <row r="15" spans="1:9" x14ac:dyDescent="0.3">
      <c r="I15"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A669E-91CF-406F-920E-689ACCE397E6}">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44756-8EB1-44BC-A7D0-6AC9C77E2FF8}">
  <dimension ref="A3:B12"/>
  <sheetViews>
    <sheetView workbookViewId="0">
      <selection activeCell="A3" sqref="A3:B12"/>
    </sheetView>
  </sheetViews>
  <sheetFormatPr defaultRowHeight="14.4" x14ac:dyDescent="0.3"/>
  <cols>
    <col min="1" max="1" width="12.5546875" bestFit="1" customWidth="1"/>
    <col min="2" max="2" width="11.6640625" bestFit="1" customWidth="1"/>
  </cols>
  <sheetData>
    <row r="3" spans="1:2" x14ac:dyDescent="0.3">
      <c r="A3" s="4" t="s">
        <v>67</v>
      </c>
      <c r="B3" t="s">
        <v>69</v>
      </c>
    </row>
    <row r="4" spans="1:2" x14ac:dyDescent="0.3">
      <c r="A4" s="5" t="s">
        <v>33</v>
      </c>
      <c r="B4">
        <v>210000</v>
      </c>
    </row>
    <row r="5" spans="1:2" x14ac:dyDescent="0.3">
      <c r="A5" s="5" t="s">
        <v>13</v>
      </c>
      <c r="B5">
        <v>196000</v>
      </c>
    </row>
    <row r="6" spans="1:2" x14ac:dyDescent="0.3">
      <c r="A6" s="5" t="s">
        <v>27</v>
      </c>
      <c r="B6">
        <v>7924500</v>
      </c>
    </row>
    <row r="7" spans="1:2" x14ac:dyDescent="0.3">
      <c r="A7" s="5" t="s">
        <v>39</v>
      </c>
      <c r="B7">
        <v>3403500</v>
      </c>
    </row>
    <row r="8" spans="1:2" x14ac:dyDescent="0.3">
      <c r="A8" s="5" t="s">
        <v>29</v>
      </c>
      <c r="B8">
        <v>1674000</v>
      </c>
    </row>
    <row r="9" spans="1:2" x14ac:dyDescent="0.3">
      <c r="A9" s="5" t="s">
        <v>43</v>
      </c>
      <c r="B9">
        <v>95300</v>
      </c>
    </row>
    <row r="10" spans="1:2" x14ac:dyDescent="0.3">
      <c r="A10" s="5" t="s">
        <v>23</v>
      </c>
      <c r="B10">
        <v>1259000</v>
      </c>
    </row>
    <row r="11" spans="1:2" x14ac:dyDescent="0.3">
      <c r="A11" s="5" t="s">
        <v>18</v>
      </c>
      <c r="B11">
        <v>2268500</v>
      </c>
    </row>
    <row r="12" spans="1:2" x14ac:dyDescent="0.3">
      <c r="A12" s="5" t="s">
        <v>68</v>
      </c>
      <c r="B12">
        <v>17030800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3A83A-504B-45FA-87A5-2899F7AFC7D2}">
  <dimension ref="A3:B16"/>
  <sheetViews>
    <sheetView workbookViewId="0">
      <selection activeCell="A3" sqref="A3:B8"/>
    </sheetView>
  </sheetViews>
  <sheetFormatPr defaultRowHeight="14.4" x14ac:dyDescent="0.3"/>
  <cols>
    <col min="1" max="1" width="12.5546875" bestFit="1" customWidth="1"/>
    <col min="2" max="2" width="11.6640625" bestFit="1" customWidth="1"/>
  </cols>
  <sheetData>
    <row r="3" spans="1:2" x14ac:dyDescent="0.3">
      <c r="A3" s="4" t="s">
        <v>67</v>
      </c>
      <c r="B3" t="s">
        <v>69</v>
      </c>
    </row>
    <row r="4" spans="1:2" x14ac:dyDescent="0.3">
      <c r="A4" s="5" t="s">
        <v>31</v>
      </c>
      <c r="B4">
        <v>6079700</v>
      </c>
    </row>
    <row r="5" spans="1:2" x14ac:dyDescent="0.3">
      <c r="A5" s="5" t="s">
        <v>45</v>
      </c>
      <c r="B5">
        <v>1628800</v>
      </c>
    </row>
    <row r="6" spans="1:2" x14ac:dyDescent="0.3">
      <c r="A6" s="5" t="s">
        <v>20</v>
      </c>
      <c r="B6">
        <v>2634200</v>
      </c>
    </row>
    <row r="7" spans="1:2" x14ac:dyDescent="0.3">
      <c r="A7" s="5" t="s">
        <v>15</v>
      </c>
      <c r="B7">
        <v>6688100</v>
      </c>
    </row>
    <row r="8" spans="1:2" x14ac:dyDescent="0.3">
      <c r="A8" s="5" t="s">
        <v>68</v>
      </c>
      <c r="B8">
        <v>17030800</v>
      </c>
    </row>
    <row r="16" spans="1:2" ht="13.8" customHeight="1"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130C4-A3C4-41C8-B744-55DD9AE7F94D}">
  <dimension ref="A3:B10"/>
  <sheetViews>
    <sheetView workbookViewId="0">
      <selection activeCell="B10" sqref="B9:B10"/>
    </sheetView>
  </sheetViews>
  <sheetFormatPr defaultRowHeight="14.4" x14ac:dyDescent="0.3"/>
  <cols>
    <col min="1" max="1" width="13.5546875" bestFit="1" customWidth="1"/>
    <col min="2" max="2" width="16" bestFit="1" customWidth="1"/>
  </cols>
  <sheetData>
    <row r="3" spans="1:2" x14ac:dyDescent="0.3">
      <c r="A3" s="4" t="s">
        <v>67</v>
      </c>
      <c r="B3" t="s">
        <v>70</v>
      </c>
    </row>
    <row r="4" spans="1:2" x14ac:dyDescent="0.3">
      <c r="A4" s="5" t="s">
        <v>17</v>
      </c>
      <c r="B4">
        <v>4.2197802197802199</v>
      </c>
    </row>
    <row r="5" spans="1:2" x14ac:dyDescent="0.3">
      <c r="A5" s="5" t="s">
        <v>38</v>
      </c>
      <c r="B5">
        <v>4.2093023255813957</v>
      </c>
    </row>
    <row r="6" spans="1:2" x14ac:dyDescent="0.3">
      <c r="A6" s="5" t="s">
        <v>26</v>
      </c>
      <c r="B6">
        <v>4.2558139534883717</v>
      </c>
    </row>
    <row r="7" spans="1:2" x14ac:dyDescent="0.3">
      <c r="A7" s="5" t="s">
        <v>12</v>
      </c>
      <c r="B7">
        <v>4.3684210526315788</v>
      </c>
    </row>
    <row r="8" spans="1:2" x14ac:dyDescent="0.3">
      <c r="A8" s="5" t="s">
        <v>22</v>
      </c>
      <c r="B8">
        <v>4.2073170731707314</v>
      </c>
    </row>
    <row r="9" spans="1:2" x14ac:dyDescent="0.3">
      <c r="A9" s="5" t="s">
        <v>44</v>
      </c>
      <c r="B9">
        <v>4.2151898734177218</v>
      </c>
    </row>
    <row r="10" spans="1:2" x14ac:dyDescent="0.3">
      <c r="A10" s="5" t="s">
        <v>68</v>
      </c>
      <c r="B10">
        <v>4.2439999999999998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26007-633D-4C9D-BFB1-4C76AF04DDA0}">
  <dimension ref="A1:K501"/>
  <sheetViews>
    <sheetView topLeftCell="A2" workbookViewId="0">
      <selection activeCell="C20" sqref="C20"/>
    </sheetView>
  </sheetViews>
  <sheetFormatPr defaultRowHeight="14.4" x14ac:dyDescent="0.3"/>
  <cols>
    <col min="1" max="1" width="10.44140625" customWidth="1"/>
    <col min="2" max="2" width="18.109375" bestFit="1" customWidth="1"/>
    <col min="3" max="3" width="11" customWidth="1"/>
    <col min="5" max="5" width="9.5546875" customWidth="1"/>
    <col min="6" max="6" width="10.44140625" customWidth="1"/>
    <col min="7" max="7" width="10.21875" customWidth="1"/>
    <col min="8" max="8" width="11.5546875" customWidth="1"/>
    <col min="10" max="10" width="10.44140625" customWidth="1"/>
  </cols>
  <sheetData>
    <row r="1" spans="1:11" x14ac:dyDescent="0.3">
      <c r="A1" s="3" t="s">
        <v>0</v>
      </c>
      <c r="B1" s="3" t="s">
        <v>1</v>
      </c>
      <c r="C1" s="3" t="s">
        <v>2</v>
      </c>
      <c r="D1" s="3" t="s">
        <v>3</v>
      </c>
      <c r="E1" s="3" t="s">
        <v>4</v>
      </c>
      <c r="F1" s="3" t="s">
        <v>5</v>
      </c>
      <c r="G1" s="3" t="s">
        <v>6</v>
      </c>
      <c r="H1" s="3" t="s">
        <v>7</v>
      </c>
      <c r="I1" s="3" t="s">
        <v>8</v>
      </c>
      <c r="J1" s="3" t="s">
        <v>9</v>
      </c>
      <c r="K1" s="3" t="s">
        <v>10</v>
      </c>
    </row>
    <row r="2" spans="1:11" x14ac:dyDescent="0.3">
      <c r="A2">
        <v>1001</v>
      </c>
      <c r="B2" s="2">
        <v>46023</v>
      </c>
      <c r="C2" t="s">
        <v>11</v>
      </c>
      <c r="D2" t="s">
        <v>12</v>
      </c>
      <c r="E2" t="s">
        <v>13</v>
      </c>
      <c r="F2" t="s">
        <v>14</v>
      </c>
      <c r="G2">
        <v>4</v>
      </c>
      <c r="H2">
        <v>1500</v>
      </c>
      <c r="I2">
        <v>6000</v>
      </c>
      <c r="J2" t="s">
        <v>15</v>
      </c>
      <c r="K2">
        <v>3</v>
      </c>
    </row>
    <row r="3" spans="1:11" x14ac:dyDescent="0.3">
      <c r="A3">
        <v>1002</v>
      </c>
      <c r="B3" s="2">
        <v>46023.360721442878</v>
      </c>
      <c r="C3" t="s">
        <v>16</v>
      </c>
      <c r="D3" t="s">
        <v>17</v>
      </c>
      <c r="E3" t="s">
        <v>18</v>
      </c>
      <c r="F3" t="s">
        <v>19</v>
      </c>
      <c r="G3">
        <v>2</v>
      </c>
      <c r="H3">
        <v>22000</v>
      </c>
      <c r="I3">
        <v>44000</v>
      </c>
      <c r="J3" t="s">
        <v>20</v>
      </c>
      <c r="K3">
        <v>2</v>
      </c>
    </row>
    <row r="4" spans="1:11" x14ac:dyDescent="0.3">
      <c r="A4">
        <v>1003</v>
      </c>
      <c r="B4" s="2">
        <v>46023.721442885762</v>
      </c>
      <c r="C4" t="s">
        <v>21</v>
      </c>
      <c r="D4" t="s">
        <v>22</v>
      </c>
      <c r="E4" t="s">
        <v>23</v>
      </c>
      <c r="F4" t="s">
        <v>24</v>
      </c>
      <c r="G4">
        <v>2</v>
      </c>
      <c r="H4">
        <v>14000</v>
      </c>
      <c r="I4">
        <v>28000</v>
      </c>
      <c r="J4" t="s">
        <v>15</v>
      </c>
      <c r="K4">
        <v>5</v>
      </c>
    </row>
    <row r="5" spans="1:11" x14ac:dyDescent="0.3">
      <c r="A5">
        <v>1004</v>
      </c>
      <c r="B5" s="2">
        <v>46024.082164328647</v>
      </c>
      <c r="C5" t="s">
        <v>25</v>
      </c>
      <c r="D5" t="s">
        <v>26</v>
      </c>
      <c r="E5" t="s">
        <v>27</v>
      </c>
      <c r="F5" t="s">
        <v>19</v>
      </c>
      <c r="G5">
        <v>1</v>
      </c>
      <c r="H5">
        <v>55000</v>
      </c>
      <c r="I5">
        <v>55000</v>
      </c>
      <c r="J5" t="s">
        <v>15</v>
      </c>
      <c r="K5">
        <v>4</v>
      </c>
    </row>
    <row r="6" spans="1:11" x14ac:dyDescent="0.3">
      <c r="A6">
        <v>1005</v>
      </c>
      <c r="B6" s="2">
        <v>46024.442885771539</v>
      </c>
      <c r="C6" t="s">
        <v>28</v>
      </c>
      <c r="D6" t="s">
        <v>12</v>
      </c>
      <c r="E6" t="s">
        <v>29</v>
      </c>
      <c r="F6" t="s">
        <v>19</v>
      </c>
      <c r="G6">
        <v>1</v>
      </c>
      <c r="H6">
        <v>12000</v>
      </c>
      <c r="I6">
        <v>12000</v>
      </c>
      <c r="J6" t="s">
        <v>20</v>
      </c>
      <c r="K6">
        <v>5</v>
      </c>
    </row>
    <row r="7" spans="1:11" x14ac:dyDescent="0.3">
      <c r="A7">
        <v>1006</v>
      </c>
      <c r="B7" s="2">
        <v>46024.803607214417</v>
      </c>
      <c r="C7" t="s">
        <v>30</v>
      </c>
      <c r="D7" t="s">
        <v>17</v>
      </c>
      <c r="E7" t="s">
        <v>18</v>
      </c>
      <c r="F7" t="s">
        <v>19</v>
      </c>
      <c r="G7">
        <v>1</v>
      </c>
      <c r="H7">
        <v>21500</v>
      </c>
      <c r="I7">
        <v>21500</v>
      </c>
      <c r="J7" t="s">
        <v>31</v>
      </c>
      <c r="K7">
        <v>3</v>
      </c>
    </row>
    <row r="8" spans="1:11" x14ac:dyDescent="0.3">
      <c r="A8">
        <v>1007</v>
      </c>
      <c r="B8" s="2">
        <v>46025.164328657302</v>
      </c>
      <c r="C8" t="s">
        <v>32</v>
      </c>
      <c r="D8" t="s">
        <v>12</v>
      </c>
      <c r="E8" t="s">
        <v>33</v>
      </c>
      <c r="F8" t="s">
        <v>14</v>
      </c>
      <c r="G8">
        <v>1</v>
      </c>
      <c r="H8">
        <v>3000</v>
      </c>
      <c r="I8">
        <v>3000</v>
      </c>
      <c r="J8" t="s">
        <v>31</v>
      </c>
      <c r="K8">
        <v>4</v>
      </c>
    </row>
    <row r="9" spans="1:11" x14ac:dyDescent="0.3">
      <c r="A9">
        <v>1008</v>
      </c>
      <c r="B9" s="2">
        <v>46025.525050100186</v>
      </c>
      <c r="C9" t="s">
        <v>34</v>
      </c>
      <c r="D9" t="s">
        <v>12</v>
      </c>
      <c r="E9" t="s">
        <v>33</v>
      </c>
      <c r="F9" t="s">
        <v>14</v>
      </c>
      <c r="G9">
        <v>2</v>
      </c>
      <c r="H9">
        <v>2500</v>
      </c>
      <c r="I9">
        <v>5000</v>
      </c>
      <c r="J9" t="s">
        <v>31</v>
      </c>
      <c r="K9">
        <v>4</v>
      </c>
    </row>
    <row r="10" spans="1:11" x14ac:dyDescent="0.3">
      <c r="A10">
        <v>1009</v>
      </c>
      <c r="B10" s="2">
        <v>46025.885771543079</v>
      </c>
      <c r="C10" t="s">
        <v>35</v>
      </c>
      <c r="D10" t="s">
        <v>17</v>
      </c>
      <c r="E10" t="s">
        <v>23</v>
      </c>
      <c r="F10" t="s">
        <v>24</v>
      </c>
      <c r="G10">
        <v>2</v>
      </c>
      <c r="H10">
        <v>14000</v>
      </c>
      <c r="I10">
        <v>28000</v>
      </c>
      <c r="J10" t="s">
        <v>15</v>
      </c>
      <c r="K10">
        <v>4</v>
      </c>
    </row>
    <row r="11" spans="1:11" x14ac:dyDescent="0.3">
      <c r="A11">
        <v>1010</v>
      </c>
      <c r="B11" s="2">
        <v>46026.246492985963</v>
      </c>
      <c r="C11" t="s">
        <v>36</v>
      </c>
      <c r="D11" t="s">
        <v>22</v>
      </c>
      <c r="E11" t="s">
        <v>13</v>
      </c>
      <c r="F11" t="s">
        <v>14</v>
      </c>
      <c r="G11">
        <v>1</v>
      </c>
      <c r="H11">
        <v>1500</v>
      </c>
      <c r="I11">
        <v>1500</v>
      </c>
      <c r="J11" t="s">
        <v>15</v>
      </c>
      <c r="K11">
        <v>4</v>
      </c>
    </row>
    <row r="12" spans="1:11" x14ac:dyDescent="0.3">
      <c r="A12">
        <v>1011</v>
      </c>
      <c r="B12" s="2">
        <v>46026.607214428863</v>
      </c>
      <c r="C12" t="s">
        <v>37</v>
      </c>
      <c r="D12" t="s">
        <v>38</v>
      </c>
      <c r="E12" t="s">
        <v>27</v>
      </c>
      <c r="F12" t="s">
        <v>19</v>
      </c>
      <c r="G12">
        <v>1</v>
      </c>
      <c r="H12">
        <v>55000</v>
      </c>
      <c r="I12">
        <v>55000</v>
      </c>
      <c r="J12" t="s">
        <v>15</v>
      </c>
      <c r="K12">
        <v>5</v>
      </c>
    </row>
    <row r="13" spans="1:11" x14ac:dyDescent="0.3">
      <c r="A13">
        <v>1012</v>
      </c>
      <c r="B13" s="2">
        <v>46026.967935871733</v>
      </c>
      <c r="C13" t="s">
        <v>28</v>
      </c>
      <c r="D13" t="s">
        <v>17</v>
      </c>
      <c r="E13" t="s">
        <v>39</v>
      </c>
      <c r="F13" t="s">
        <v>19</v>
      </c>
      <c r="G13">
        <v>2</v>
      </c>
      <c r="H13">
        <v>25500</v>
      </c>
      <c r="I13">
        <v>51000</v>
      </c>
      <c r="J13" t="s">
        <v>20</v>
      </c>
      <c r="K13">
        <v>5</v>
      </c>
    </row>
    <row r="14" spans="1:11" x14ac:dyDescent="0.3">
      <c r="A14">
        <v>1013</v>
      </c>
      <c r="B14" s="2">
        <v>46027.328657314618</v>
      </c>
      <c r="C14" t="s">
        <v>40</v>
      </c>
      <c r="D14" t="s">
        <v>38</v>
      </c>
      <c r="E14" t="s">
        <v>13</v>
      </c>
      <c r="F14" t="s">
        <v>14</v>
      </c>
      <c r="G14">
        <v>1</v>
      </c>
      <c r="H14">
        <v>1500</v>
      </c>
      <c r="I14">
        <v>1500</v>
      </c>
      <c r="J14" t="s">
        <v>31</v>
      </c>
      <c r="K14">
        <v>4</v>
      </c>
    </row>
    <row r="15" spans="1:11" x14ac:dyDescent="0.3">
      <c r="A15">
        <v>1014</v>
      </c>
      <c r="B15" s="2">
        <v>46027.68937875751</v>
      </c>
      <c r="C15" t="s">
        <v>41</v>
      </c>
      <c r="D15" t="s">
        <v>22</v>
      </c>
      <c r="E15" t="s">
        <v>29</v>
      </c>
      <c r="F15" t="s">
        <v>19</v>
      </c>
      <c r="G15">
        <v>1</v>
      </c>
      <c r="H15">
        <v>12500</v>
      </c>
      <c r="I15">
        <v>12500</v>
      </c>
      <c r="J15" t="s">
        <v>31</v>
      </c>
      <c r="K15">
        <v>4</v>
      </c>
    </row>
    <row r="16" spans="1:11" x14ac:dyDescent="0.3">
      <c r="A16">
        <v>1015</v>
      </c>
      <c r="B16" s="2">
        <v>46028.050100200388</v>
      </c>
      <c r="C16" t="s">
        <v>42</v>
      </c>
      <c r="D16" t="s">
        <v>17</v>
      </c>
      <c r="E16" t="s">
        <v>43</v>
      </c>
      <c r="F16" t="s">
        <v>14</v>
      </c>
      <c r="G16">
        <v>1</v>
      </c>
      <c r="H16">
        <v>800</v>
      </c>
      <c r="I16">
        <v>800</v>
      </c>
      <c r="J16" t="s">
        <v>15</v>
      </c>
      <c r="K16">
        <v>3</v>
      </c>
    </row>
    <row r="17" spans="1:11" x14ac:dyDescent="0.3">
      <c r="A17">
        <v>1016</v>
      </c>
      <c r="B17" s="2">
        <v>46028.410821643272</v>
      </c>
      <c r="C17" t="s">
        <v>40</v>
      </c>
      <c r="D17" t="s">
        <v>44</v>
      </c>
      <c r="E17" t="s">
        <v>29</v>
      </c>
      <c r="F17" t="s">
        <v>19</v>
      </c>
      <c r="G17">
        <v>1</v>
      </c>
      <c r="H17">
        <v>12000</v>
      </c>
      <c r="I17">
        <v>12000</v>
      </c>
      <c r="J17" t="s">
        <v>31</v>
      </c>
      <c r="K17">
        <v>4</v>
      </c>
    </row>
    <row r="18" spans="1:11" x14ac:dyDescent="0.3">
      <c r="A18">
        <v>1017</v>
      </c>
      <c r="B18" s="2">
        <v>46028.771543086172</v>
      </c>
      <c r="C18" t="s">
        <v>16</v>
      </c>
      <c r="D18" t="s">
        <v>12</v>
      </c>
      <c r="E18" t="s">
        <v>23</v>
      </c>
      <c r="F18" t="s">
        <v>24</v>
      </c>
      <c r="G18">
        <v>2</v>
      </c>
      <c r="H18">
        <v>14000</v>
      </c>
      <c r="I18">
        <v>28000</v>
      </c>
      <c r="J18" t="s">
        <v>45</v>
      </c>
      <c r="K18">
        <v>5</v>
      </c>
    </row>
    <row r="19" spans="1:11" x14ac:dyDescent="0.3">
      <c r="A19">
        <v>1018</v>
      </c>
      <c r="B19" s="2">
        <v>46029.132264529049</v>
      </c>
      <c r="C19" t="s">
        <v>46</v>
      </c>
      <c r="D19" t="s">
        <v>12</v>
      </c>
      <c r="E19" t="s">
        <v>18</v>
      </c>
      <c r="F19" t="s">
        <v>19</v>
      </c>
      <c r="G19">
        <v>3</v>
      </c>
      <c r="H19">
        <v>22000</v>
      </c>
      <c r="I19">
        <v>66000</v>
      </c>
      <c r="J19" t="s">
        <v>15</v>
      </c>
      <c r="K19">
        <v>4</v>
      </c>
    </row>
    <row r="20" spans="1:11" x14ac:dyDescent="0.3">
      <c r="A20">
        <v>1019</v>
      </c>
      <c r="B20" s="2">
        <v>46029.492985971927</v>
      </c>
      <c r="C20" t="s">
        <v>30</v>
      </c>
      <c r="D20" t="s">
        <v>44</v>
      </c>
      <c r="E20" t="s">
        <v>23</v>
      </c>
      <c r="F20" t="s">
        <v>24</v>
      </c>
      <c r="G20">
        <v>1</v>
      </c>
      <c r="H20">
        <v>14000</v>
      </c>
      <c r="I20">
        <v>14000</v>
      </c>
      <c r="J20" t="s">
        <v>20</v>
      </c>
      <c r="K20">
        <v>2</v>
      </c>
    </row>
    <row r="21" spans="1:11" x14ac:dyDescent="0.3">
      <c r="A21">
        <v>1020</v>
      </c>
      <c r="B21" s="2">
        <v>46029.853707414833</v>
      </c>
      <c r="C21" t="s">
        <v>47</v>
      </c>
      <c r="D21" t="s">
        <v>12</v>
      </c>
      <c r="E21" t="s">
        <v>33</v>
      </c>
      <c r="F21" t="s">
        <v>14</v>
      </c>
      <c r="G21">
        <v>1</v>
      </c>
      <c r="H21">
        <v>2500</v>
      </c>
      <c r="I21">
        <v>2500</v>
      </c>
      <c r="J21" t="s">
        <v>15</v>
      </c>
      <c r="K21">
        <v>5</v>
      </c>
    </row>
    <row r="22" spans="1:11" x14ac:dyDescent="0.3">
      <c r="A22">
        <v>1021</v>
      </c>
      <c r="B22" s="2">
        <v>46030.214428857711</v>
      </c>
      <c r="C22" t="s">
        <v>48</v>
      </c>
      <c r="D22" t="s">
        <v>26</v>
      </c>
      <c r="E22" t="s">
        <v>13</v>
      </c>
      <c r="F22" t="s">
        <v>14</v>
      </c>
      <c r="G22">
        <v>2</v>
      </c>
      <c r="H22">
        <v>1500</v>
      </c>
      <c r="I22">
        <v>3000</v>
      </c>
      <c r="J22" t="s">
        <v>20</v>
      </c>
      <c r="K22">
        <v>5</v>
      </c>
    </row>
    <row r="23" spans="1:11" x14ac:dyDescent="0.3">
      <c r="A23">
        <v>1022</v>
      </c>
      <c r="B23" s="2">
        <v>46030.575150300589</v>
      </c>
      <c r="C23" t="s">
        <v>48</v>
      </c>
      <c r="D23" t="s">
        <v>22</v>
      </c>
      <c r="E23" t="s">
        <v>43</v>
      </c>
      <c r="F23" t="s">
        <v>14</v>
      </c>
      <c r="G23">
        <v>2</v>
      </c>
      <c r="H23">
        <v>800</v>
      </c>
      <c r="I23">
        <v>1600</v>
      </c>
      <c r="J23" t="s">
        <v>15</v>
      </c>
      <c r="K23">
        <v>5</v>
      </c>
    </row>
    <row r="24" spans="1:11" x14ac:dyDescent="0.3">
      <c r="A24">
        <v>1023</v>
      </c>
      <c r="B24" s="2">
        <v>46030.935871743481</v>
      </c>
      <c r="C24" t="s">
        <v>49</v>
      </c>
      <c r="D24" t="s">
        <v>38</v>
      </c>
      <c r="E24" t="s">
        <v>13</v>
      </c>
      <c r="F24" t="s">
        <v>14</v>
      </c>
      <c r="G24">
        <v>1</v>
      </c>
      <c r="H24">
        <v>1500</v>
      </c>
      <c r="I24">
        <v>1500</v>
      </c>
      <c r="J24" t="s">
        <v>31</v>
      </c>
      <c r="K24">
        <v>4</v>
      </c>
    </row>
    <row r="25" spans="1:11" x14ac:dyDescent="0.3">
      <c r="A25">
        <v>1024</v>
      </c>
      <c r="B25" s="2">
        <v>46031.296593186373</v>
      </c>
      <c r="C25" t="s">
        <v>46</v>
      </c>
      <c r="D25" t="s">
        <v>38</v>
      </c>
      <c r="E25" t="s">
        <v>33</v>
      </c>
      <c r="F25" t="s">
        <v>14</v>
      </c>
      <c r="G25">
        <v>2</v>
      </c>
      <c r="H25">
        <v>2500</v>
      </c>
      <c r="I25">
        <v>5000</v>
      </c>
      <c r="J25" t="s">
        <v>15</v>
      </c>
      <c r="K25">
        <v>5</v>
      </c>
    </row>
    <row r="26" spans="1:11" x14ac:dyDescent="0.3">
      <c r="A26">
        <v>1025</v>
      </c>
      <c r="B26" s="2">
        <v>46031.65731462925</v>
      </c>
      <c r="C26" t="s">
        <v>50</v>
      </c>
      <c r="D26" t="s">
        <v>22</v>
      </c>
      <c r="E26" t="s">
        <v>33</v>
      </c>
      <c r="F26" t="s">
        <v>14</v>
      </c>
      <c r="G26">
        <v>5</v>
      </c>
      <c r="H26">
        <v>2500</v>
      </c>
      <c r="I26">
        <v>12500</v>
      </c>
      <c r="J26" t="s">
        <v>15</v>
      </c>
      <c r="K26">
        <v>4</v>
      </c>
    </row>
    <row r="27" spans="1:11" x14ac:dyDescent="0.3">
      <c r="A27">
        <v>1026</v>
      </c>
      <c r="B27" s="2">
        <v>46032.018036072142</v>
      </c>
      <c r="C27" t="s">
        <v>32</v>
      </c>
      <c r="D27" t="s">
        <v>38</v>
      </c>
      <c r="E27" t="s">
        <v>39</v>
      </c>
      <c r="F27" t="s">
        <v>19</v>
      </c>
      <c r="G27">
        <v>3</v>
      </c>
      <c r="H27">
        <v>25000</v>
      </c>
      <c r="I27">
        <v>75000</v>
      </c>
      <c r="J27" t="s">
        <v>31</v>
      </c>
      <c r="K27">
        <v>5</v>
      </c>
    </row>
    <row r="28" spans="1:11" x14ac:dyDescent="0.3">
      <c r="A28">
        <v>1027</v>
      </c>
      <c r="B28" s="2">
        <v>46032.37875751502</v>
      </c>
      <c r="C28" t="s">
        <v>37</v>
      </c>
      <c r="D28" t="s">
        <v>12</v>
      </c>
      <c r="E28" t="s">
        <v>13</v>
      </c>
      <c r="F28" t="s">
        <v>14</v>
      </c>
      <c r="G28">
        <v>1</v>
      </c>
      <c r="H28">
        <v>2000</v>
      </c>
      <c r="I28">
        <v>2000</v>
      </c>
      <c r="J28" t="s">
        <v>45</v>
      </c>
      <c r="K28">
        <v>5</v>
      </c>
    </row>
    <row r="29" spans="1:11" x14ac:dyDescent="0.3">
      <c r="A29">
        <v>1028</v>
      </c>
      <c r="B29" s="2">
        <v>46032.739478957898</v>
      </c>
      <c r="C29" t="s">
        <v>42</v>
      </c>
      <c r="D29" t="s">
        <v>38</v>
      </c>
      <c r="E29" t="s">
        <v>39</v>
      </c>
      <c r="F29" t="s">
        <v>19</v>
      </c>
      <c r="G29">
        <v>1</v>
      </c>
      <c r="H29">
        <v>25000</v>
      </c>
      <c r="I29">
        <v>25000</v>
      </c>
      <c r="J29" t="s">
        <v>15</v>
      </c>
      <c r="K29">
        <v>4</v>
      </c>
    </row>
    <row r="30" spans="1:11" x14ac:dyDescent="0.3">
      <c r="A30">
        <v>1029</v>
      </c>
      <c r="B30" s="2">
        <v>46033.100200400797</v>
      </c>
      <c r="C30" t="s">
        <v>49</v>
      </c>
      <c r="D30" t="s">
        <v>26</v>
      </c>
      <c r="E30" t="s">
        <v>23</v>
      </c>
      <c r="F30" t="s">
        <v>24</v>
      </c>
      <c r="G30">
        <v>2</v>
      </c>
      <c r="H30">
        <v>14000</v>
      </c>
      <c r="I30">
        <v>28000</v>
      </c>
      <c r="J30" t="s">
        <v>20</v>
      </c>
      <c r="K30">
        <v>5</v>
      </c>
    </row>
    <row r="31" spans="1:11" x14ac:dyDescent="0.3">
      <c r="A31">
        <v>1030</v>
      </c>
      <c r="B31" s="2">
        <v>46033.460921843682</v>
      </c>
      <c r="C31" t="s">
        <v>50</v>
      </c>
      <c r="D31" t="s">
        <v>38</v>
      </c>
      <c r="E31" t="s">
        <v>29</v>
      </c>
      <c r="F31" t="s">
        <v>19</v>
      </c>
      <c r="G31">
        <v>1</v>
      </c>
      <c r="H31">
        <v>12000</v>
      </c>
      <c r="I31">
        <v>12000</v>
      </c>
      <c r="J31" t="s">
        <v>45</v>
      </c>
      <c r="K31">
        <v>4</v>
      </c>
    </row>
    <row r="32" spans="1:11" x14ac:dyDescent="0.3">
      <c r="A32">
        <v>1031</v>
      </c>
      <c r="B32" s="2">
        <v>46033.821643286559</v>
      </c>
      <c r="C32" t="s">
        <v>32</v>
      </c>
      <c r="D32" t="s">
        <v>26</v>
      </c>
      <c r="E32" t="s">
        <v>18</v>
      </c>
      <c r="F32" t="s">
        <v>19</v>
      </c>
      <c r="G32">
        <v>3</v>
      </c>
      <c r="H32">
        <v>22500</v>
      </c>
      <c r="I32">
        <v>67500</v>
      </c>
      <c r="J32" t="s">
        <v>31</v>
      </c>
      <c r="K32">
        <v>5</v>
      </c>
    </row>
    <row r="33" spans="1:11" x14ac:dyDescent="0.3">
      <c r="A33">
        <v>1032</v>
      </c>
      <c r="B33" s="2">
        <v>46034.182364729459</v>
      </c>
      <c r="C33" t="s">
        <v>34</v>
      </c>
      <c r="D33" t="s">
        <v>26</v>
      </c>
      <c r="E33" t="s">
        <v>13</v>
      </c>
      <c r="F33" t="s">
        <v>14</v>
      </c>
      <c r="G33">
        <v>4</v>
      </c>
      <c r="H33">
        <v>2000</v>
      </c>
      <c r="I33">
        <v>8000</v>
      </c>
      <c r="J33" t="s">
        <v>31</v>
      </c>
      <c r="K33">
        <v>5</v>
      </c>
    </row>
    <row r="34" spans="1:11" x14ac:dyDescent="0.3">
      <c r="A34">
        <v>1033</v>
      </c>
      <c r="B34" s="2">
        <v>46034.543086172343</v>
      </c>
      <c r="C34" t="s">
        <v>49</v>
      </c>
      <c r="D34" t="s">
        <v>26</v>
      </c>
      <c r="E34" t="s">
        <v>29</v>
      </c>
      <c r="F34" t="s">
        <v>19</v>
      </c>
      <c r="G34">
        <v>1</v>
      </c>
      <c r="H34">
        <v>12000</v>
      </c>
      <c r="I34">
        <v>12000</v>
      </c>
      <c r="J34" t="s">
        <v>15</v>
      </c>
      <c r="K34">
        <v>5</v>
      </c>
    </row>
    <row r="35" spans="1:11" x14ac:dyDescent="0.3">
      <c r="A35">
        <v>1034</v>
      </c>
      <c r="B35" s="2">
        <v>46034.903807615221</v>
      </c>
      <c r="C35" t="s">
        <v>49</v>
      </c>
      <c r="D35" t="s">
        <v>17</v>
      </c>
      <c r="E35" t="s">
        <v>29</v>
      </c>
      <c r="F35" t="s">
        <v>19</v>
      </c>
      <c r="G35">
        <v>3</v>
      </c>
      <c r="H35">
        <v>12000</v>
      </c>
      <c r="I35">
        <v>36000</v>
      </c>
      <c r="J35" t="s">
        <v>31</v>
      </c>
      <c r="K35">
        <v>5</v>
      </c>
    </row>
    <row r="36" spans="1:11" x14ac:dyDescent="0.3">
      <c r="A36">
        <v>1035</v>
      </c>
      <c r="B36" s="2">
        <v>46035.264529058113</v>
      </c>
      <c r="C36" t="s">
        <v>47</v>
      </c>
      <c r="D36" t="s">
        <v>26</v>
      </c>
      <c r="E36" t="s">
        <v>43</v>
      </c>
      <c r="F36" t="s">
        <v>14</v>
      </c>
      <c r="G36">
        <v>2</v>
      </c>
      <c r="H36">
        <v>1300</v>
      </c>
      <c r="I36">
        <v>2600</v>
      </c>
      <c r="J36" t="s">
        <v>20</v>
      </c>
      <c r="K36">
        <v>4</v>
      </c>
    </row>
    <row r="37" spans="1:11" x14ac:dyDescent="0.3">
      <c r="A37">
        <v>1036</v>
      </c>
      <c r="B37" s="2">
        <v>46035.625250500998</v>
      </c>
      <c r="C37" t="s">
        <v>49</v>
      </c>
      <c r="D37" t="s">
        <v>44</v>
      </c>
      <c r="E37" t="s">
        <v>13</v>
      </c>
      <c r="F37" t="s">
        <v>14</v>
      </c>
      <c r="G37">
        <v>2</v>
      </c>
      <c r="H37">
        <v>1500</v>
      </c>
      <c r="I37">
        <v>3000</v>
      </c>
      <c r="J37" t="s">
        <v>15</v>
      </c>
      <c r="K37">
        <v>4</v>
      </c>
    </row>
    <row r="38" spans="1:11" x14ac:dyDescent="0.3">
      <c r="A38">
        <v>1037</v>
      </c>
      <c r="B38" s="2">
        <v>46035.985971943883</v>
      </c>
      <c r="C38" t="s">
        <v>21</v>
      </c>
      <c r="D38" t="s">
        <v>17</v>
      </c>
      <c r="E38" t="s">
        <v>29</v>
      </c>
      <c r="F38" t="s">
        <v>19</v>
      </c>
      <c r="G38">
        <v>3</v>
      </c>
      <c r="H38">
        <v>11500</v>
      </c>
      <c r="I38">
        <v>34500</v>
      </c>
      <c r="J38" t="s">
        <v>31</v>
      </c>
      <c r="K38">
        <v>4</v>
      </c>
    </row>
    <row r="39" spans="1:11" x14ac:dyDescent="0.3">
      <c r="A39">
        <v>1038</v>
      </c>
      <c r="B39" s="2">
        <v>46036.346693386768</v>
      </c>
      <c r="C39" t="s">
        <v>48</v>
      </c>
      <c r="D39" t="s">
        <v>26</v>
      </c>
      <c r="E39" t="s">
        <v>18</v>
      </c>
      <c r="F39" t="s">
        <v>19</v>
      </c>
      <c r="G39">
        <v>2</v>
      </c>
      <c r="H39">
        <v>22500</v>
      </c>
      <c r="I39">
        <v>45000</v>
      </c>
      <c r="J39" t="s">
        <v>20</v>
      </c>
      <c r="K39">
        <v>5</v>
      </c>
    </row>
    <row r="40" spans="1:11" x14ac:dyDescent="0.3">
      <c r="A40">
        <v>1039</v>
      </c>
      <c r="B40" s="2">
        <v>46036.707414829652</v>
      </c>
      <c r="C40" t="s">
        <v>49</v>
      </c>
      <c r="D40" t="s">
        <v>38</v>
      </c>
      <c r="E40" t="s">
        <v>18</v>
      </c>
      <c r="F40" t="s">
        <v>19</v>
      </c>
      <c r="G40">
        <v>1</v>
      </c>
      <c r="H40">
        <v>22000</v>
      </c>
      <c r="I40">
        <v>22000</v>
      </c>
      <c r="J40" t="s">
        <v>15</v>
      </c>
      <c r="K40">
        <v>5</v>
      </c>
    </row>
    <row r="41" spans="1:11" x14ac:dyDescent="0.3">
      <c r="A41">
        <v>1040</v>
      </c>
      <c r="B41" s="2">
        <v>46037.068136272537</v>
      </c>
      <c r="C41" t="s">
        <v>34</v>
      </c>
      <c r="D41" t="s">
        <v>26</v>
      </c>
      <c r="E41" t="s">
        <v>23</v>
      </c>
      <c r="F41" t="s">
        <v>24</v>
      </c>
      <c r="G41">
        <v>2</v>
      </c>
      <c r="H41">
        <v>14000</v>
      </c>
      <c r="I41">
        <v>28000</v>
      </c>
      <c r="J41" t="s">
        <v>15</v>
      </c>
      <c r="K41">
        <v>4</v>
      </c>
    </row>
    <row r="42" spans="1:11" x14ac:dyDescent="0.3">
      <c r="A42">
        <v>1041</v>
      </c>
      <c r="B42" s="2">
        <v>46037.428857715429</v>
      </c>
      <c r="C42" t="s">
        <v>28</v>
      </c>
      <c r="D42" t="s">
        <v>38</v>
      </c>
      <c r="E42" t="s">
        <v>43</v>
      </c>
      <c r="F42" t="s">
        <v>14</v>
      </c>
      <c r="G42">
        <v>1</v>
      </c>
      <c r="H42">
        <v>800</v>
      </c>
      <c r="I42">
        <v>800</v>
      </c>
      <c r="J42" t="s">
        <v>31</v>
      </c>
      <c r="K42">
        <v>5</v>
      </c>
    </row>
    <row r="43" spans="1:11" x14ac:dyDescent="0.3">
      <c r="A43">
        <v>1042</v>
      </c>
      <c r="B43" s="2">
        <v>46037.789579158307</v>
      </c>
      <c r="C43" t="s">
        <v>36</v>
      </c>
      <c r="D43" t="s">
        <v>17</v>
      </c>
      <c r="E43" t="s">
        <v>43</v>
      </c>
      <c r="F43" t="s">
        <v>14</v>
      </c>
      <c r="G43">
        <v>1</v>
      </c>
      <c r="H43">
        <v>800</v>
      </c>
      <c r="I43">
        <v>800</v>
      </c>
      <c r="J43" t="s">
        <v>31</v>
      </c>
      <c r="K43">
        <v>4</v>
      </c>
    </row>
    <row r="44" spans="1:11" x14ac:dyDescent="0.3">
      <c r="A44">
        <v>1043</v>
      </c>
      <c r="B44" s="2">
        <v>46038.150300601192</v>
      </c>
      <c r="C44" t="s">
        <v>50</v>
      </c>
      <c r="D44" t="s">
        <v>26</v>
      </c>
      <c r="E44" t="s">
        <v>39</v>
      </c>
      <c r="F44" t="s">
        <v>19</v>
      </c>
      <c r="G44">
        <v>2</v>
      </c>
      <c r="H44">
        <v>25000</v>
      </c>
      <c r="I44">
        <v>50000</v>
      </c>
      <c r="J44" t="s">
        <v>20</v>
      </c>
      <c r="K44">
        <v>4</v>
      </c>
    </row>
    <row r="45" spans="1:11" x14ac:dyDescent="0.3">
      <c r="A45">
        <v>1044</v>
      </c>
      <c r="B45" s="2">
        <v>46038.511022044077</v>
      </c>
      <c r="C45" t="s">
        <v>47</v>
      </c>
      <c r="D45" t="s">
        <v>22</v>
      </c>
      <c r="E45" t="s">
        <v>13</v>
      </c>
      <c r="F45" t="s">
        <v>14</v>
      </c>
      <c r="G45">
        <v>1</v>
      </c>
      <c r="H45">
        <v>1500</v>
      </c>
      <c r="I45">
        <v>1500</v>
      </c>
      <c r="J45" t="s">
        <v>15</v>
      </c>
      <c r="K45">
        <v>5</v>
      </c>
    </row>
    <row r="46" spans="1:11" x14ac:dyDescent="0.3">
      <c r="A46">
        <v>1045</v>
      </c>
      <c r="B46" s="2">
        <v>46038.871743486969</v>
      </c>
      <c r="C46" t="s">
        <v>42</v>
      </c>
      <c r="D46" t="s">
        <v>26</v>
      </c>
      <c r="E46" t="s">
        <v>18</v>
      </c>
      <c r="F46" t="s">
        <v>19</v>
      </c>
      <c r="G46">
        <v>3</v>
      </c>
      <c r="H46">
        <v>22000</v>
      </c>
      <c r="I46">
        <v>66000</v>
      </c>
      <c r="J46" t="s">
        <v>15</v>
      </c>
      <c r="K46">
        <v>4</v>
      </c>
    </row>
    <row r="47" spans="1:11" x14ac:dyDescent="0.3">
      <c r="A47">
        <v>1046</v>
      </c>
      <c r="B47" s="2">
        <v>46039.232464929853</v>
      </c>
      <c r="C47" t="s">
        <v>21</v>
      </c>
      <c r="D47" t="s">
        <v>44</v>
      </c>
      <c r="E47" t="s">
        <v>13</v>
      </c>
      <c r="F47" t="s">
        <v>14</v>
      </c>
      <c r="G47">
        <v>3</v>
      </c>
      <c r="H47">
        <v>1500</v>
      </c>
      <c r="I47">
        <v>4500</v>
      </c>
      <c r="J47" t="s">
        <v>31</v>
      </c>
      <c r="K47">
        <v>5</v>
      </c>
    </row>
    <row r="48" spans="1:11" x14ac:dyDescent="0.3">
      <c r="A48">
        <v>1047</v>
      </c>
      <c r="B48" s="2">
        <v>46039.593186372753</v>
      </c>
      <c r="C48" t="s">
        <v>37</v>
      </c>
      <c r="D48" t="s">
        <v>17</v>
      </c>
      <c r="E48" t="s">
        <v>43</v>
      </c>
      <c r="F48" t="s">
        <v>14</v>
      </c>
      <c r="G48">
        <v>1</v>
      </c>
      <c r="H48">
        <v>800</v>
      </c>
      <c r="I48">
        <v>800</v>
      </c>
      <c r="J48" t="s">
        <v>15</v>
      </c>
      <c r="K48">
        <v>5</v>
      </c>
    </row>
    <row r="49" spans="1:11" x14ac:dyDescent="0.3">
      <c r="A49">
        <v>1048</v>
      </c>
      <c r="B49" s="2">
        <v>46039.953907815623</v>
      </c>
      <c r="C49" t="s">
        <v>47</v>
      </c>
      <c r="D49" t="s">
        <v>17</v>
      </c>
      <c r="E49" t="s">
        <v>39</v>
      </c>
      <c r="F49" t="s">
        <v>19</v>
      </c>
      <c r="G49">
        <v>1</v>
      </c>
      <c r="H49">
        <v>25000</v>
      </c>
      <c r="I49">
        <v>25000</v>
      </c>
      <c r="J49" t="s">
        <v>45</v>
      </c>
      <c r="K49">
        <v>4</v>
      </c>
    </row>
    <row r="50" spans="1:11" x14ac:dyDescent="0.3">
      <c r="A50">
        <v>1049</v>
      </c>
      <c r="B50" s="2">
        <v>46040.314629258508</v>
      </c>
      <c r="C50" t="s">
        <v>21</v>
      </c>
      <c r="D50" t="s">
        <v>44</v>
      </c>
      <c r="E50" t="s">
        <v>43</v>
      </c>
      <c r="F50" t="s">
        <v>14</v>
      </c>
      <c r="G50">
        <v>1</v>
      </c>
      <c r="H50">
        <v>800</v>
      </c>
      <c r="I50">
        <v>800</v>
      </c>
      <c r="J50" t="s">
        <v>15</v>
      </c>
      <c r="K50">
        <v>5</v>
      </c>
    </row>
    <row r="51" spans="1:11" x14ac:dyDescent="0.3">
      <c r="A51">
        <v>1050</v>
      </c>
      <c r="B51" s="2">
        <v>46040.6753507014</v>
      </c>
      <c r="C51" t="s">
        <v>37</v>
      </c>
      <c r="D51" t="s">
        <v>44</v>
      </c>
      <c r="E51" t="s">
        <v>33</v>
      </c>
      <c r="F51" t="s">
        <v>14</v>
      </c>
      <c r="G51">
        <v>1</v>
      </c>
      <c r="H51">
        <v>2000</v>
      </c>
      <c r="I51">
        <v>2000</v>
      </c>
      <c r="J51" t="s">
        <v>15</v>
      </c>
      <c r="K51">
        <v>5</v>
      </c>
    </row>
    <row r="52" spans="1:11" x14ac:dyDescent="0.3">
      <c r="A52">
        <v>1051</v>
      </c>
      <c r="B52" s="2">
        <v>46041.036072144278</v>
      </c>
      <c r="C52" t="s">
        <v>41</v>
      </c>
      <c r="D52" t="s">
        <v>17</v>
      </c>
      <c r="E52" t="s">
        <v>39</v>
      </c>
      <c r="F52" t="s">
        <v>19</v>
      </c>
      <c r="G52">
        <v>2</v>
      </c>
      <c r="H52">
        <v>25000</v>
      </c>
      <c r="I52">
        <v>50000</v>
      </c>
      <c r="J52" t="s">
        <v>31</v>
      </c>
      <c r="K52">
        <v>4</v>
      </c>
    </row>
    <row r="53" spans="1:11" x14ac:dyDescent="0.3">
      <c r="A53">
        <v>1052</v>
      </c>
      <c r="B53" s="2">
        <v>46041.396793587162</v>
      </c>
      <c r="C53" t="s">
        <v>25</v>
      </c>
      <c r="D53" t="s">
        <v>22</v>
      </c>
      <c r="E53" t="s">
        <v>27</v>
      </c>
      <c r="F53" t="s">
        <v>19</v>
      </c>
      <c r="G53">
        <v>1</v>
      </c>
      <c r="H53">
        <v>54500</v>
      </c>
      <c r="I53">
        <v>54500</v>
      </c>
      <c r="J53" t="s">
        <v>15</v>
      </c>
      <c r="K53">
        <v>5</v>
      </c>
    </row>
    <row r="54" spans="1:11" x14ac:dyDescent="0.3">
      <c r="A54">
        <v>1053</v>
      </c>
      <c r="B54" s="2">
        <v>46041.757515030047</v>
      </c>
      <c r="C54" t="s">
        <v>11</v>
      </c>
      <c r="D54" t="s">
        <v>17</v>
      </c>
      <c r="E54" t="s">
        <v>43</v>
      </c>
      <c r="F54" t="s">
        <v>14</v>
      </c>
      <c r="G54">
        <v>1</v>
      </c>
      <c r="H54">
        <v>800</v>
      </c>
      <c r="I54">
        <v>800</v>
      </c>
      <c r="J54" t="s">
        <v>15</v>
      </c>
      <c r="K54">
        <v>4</v>
      </c>
    </row>
    <row r="55" spans="1:11" x14ac:dyDescent="0.3">
      <c r="A55">
        <v>1054</v>
      </c>
      <c r="B55" s="2">
        <v>46042.118236472939</v>
      </c>
      <c r="C55" t="s">
        <v>16</v>
      </c>
      <c r="D55" t="s">
        <v>17</v>
      </c>
      <c r="E55" t="s">
        <v>13</v>
      </c>
      <c r="F55" t="s">
        <v>14</v>
      </c>
      <c r="G55">
        <v>2</v>
      </c>
      <c r="H55">
        <v>1500</v>
      </c>
      <c r="I55">
        <v>3000</v>
      </c>
      <c r="J55" t="s">
        <v>15</v>
      </c>
      <c r="K55">
        <v>5</v>
      </c>
    </row>
    <row r="56" spans="1:11" x14ac:dyDescent="0.3">
      <c r="A56">
        <v>1055</v>
      </c>
      <c r="B56" s="2">
        <v>46042.478957915817</v>
      </c>
      <c r="C56" t="s">
        <v>32</v>
      </c>
      <c r="D56" t="s">
        <v>12</v>
      </c>
      <c r="E56" t="s">
        <v>33</v>
      </c>
      <c r="F56" t="s">
        <v>14</v>
      </c>
      <c r="G56">
        <v>3</v>
      </c>
      <c r="H56">
        <v>2500</v>
      </c>
      <c r="I56">
        <v>7500</v>
      </c>
      <c r="J56" t="s">
        <v>15</v>
      </c>
      <c r="K56">
        <v>5</v>
      </c>
    </row>
    <row r="57" spans="1:11" x14ac:dyDescent="0.3">
      <c r="A57">
        <v>1056</v>
      </c>
      <c r="B57" s="2">
        <v>46042.839679358724</v>
      </c>
      <c r="C57" t="s">
        <v>49</v>
      </c>
      <c r="D57" t="s">
        <v>22</v>
      </c>
      <c r="E57" t="s">
        <v>23</v>
      </c>
      <c r="F57" t="s">
        <v>24</v>
      </c>
      <c r="G57">
        <v>2</v>
      </c>
      <c r="H57">
        <v>14000</v>
      </c>
      <c r="I57">
        <v>28000</v>
      </c>
      <c r="J57" t="s">
        <v>45</v>
      </c>
      <c r="K57">
        <v>5</v>
      </c>
    </row>
    <row r="58" spans="1:11" x14ac:dyDescent="0.3">
      <c r="A58">
        <v>1057</v>
      </c>
      <c r="B58" s="2">
        <v>46043.200400801587</v>
      </c>
      <c r="C58" t="s">
        <v>46</v>
      </c>
      <c r="D58" t="s">
        <v>17</v>
      </c>
      <c r="E58" t="s">
        <v>29</v>
      </c>
      <c r="F58" t="s">
        <v>19</v>
      </c>
      <c r="G58">
        <v>3</v>
      </c>
      <c r="H58">
        <v>12000</v>
      </c>
      <c r="I58">
        <v>36000</v>
      </c>
      <c r="J58" t="s">
        <v>15</v>
      </c>
      <c r="K58">
        <v>4</v>
      </c>
    </row>
    <row r="59" spans="1:11" x14ac:dyDescent="0.3">
      <c r="A59">
        <v>1058</v>
      </c>
      <c r="B59" s="2">
        <v>46043.561122244479</v>
      </c>
      <c r="C59" t="s">
        <v>48</v>
      </c>
      <c r="D59" t="s">
        <v>12</v>
      </c>
      <c r="E59" t="s">
        <v>13</v>
      </c>
      <c r="F59" t="s">
        <v>14</v>
      </c>
      <c r="G59">
        <v>1</v>
      </c>
      <c r="H59">
        <v>1500</v>
      </c>
      <c r="I59">
        <v>1500</v>
      </c>
      <c r="J59" t="s">
        <v>15</v>
      </c>
      <c r="K59">
        <v>5</v>
      </c>
    </row>
    <row r="60" spans="1:11" x14ac:dyDescent="0.3">
      <c r="A60">
        <v>1059</v>
      </c>
      <c r="B60" s="2">
        <v>46043.921843687371</v>
      </c>
      <c r="C60" t="s">
        <v>32</v>
      </c>
      <c r="D60" t="s">
        <v>12</v>
      </c>
      <c r="E60" t="s">
        <v>27</v>
      </c>
      <c r="F60" t="s">
        <v>19</v>
      </c>
      <c r="G60">
        <v>3</v>
      </c>
      <c r="H60">
        <v>55000</v>
      </c>
      <c r="I60">
        <v>165000</v>
      </c>
      <c r="J60" t="s">
        <v>31</v>
      </c>
      <c r="K60">
        <v>5</v>
      </c>
    </row>
    <row r="61" spans="1:11" x14ac:dyDescent="0.3">
      <c r="A61">
        <v>1060</v>
      </c>
      <c r="B61" s="2">
        <v>46044.282565130263</v>
      </c>
      <c r="C61" t="s">
        <v>32</v>
      </c>
      <c r="D61" t="s">
        <v>12</v>
      </c>
      <c r="E61" t="s">
        <v>18</v>
      </c>
      <c r="F61" t="s">
        <v>19</v>
      </c>
      <c r="G61">
        <v>2</v>
      </c>
      <c r="H61">
        <v>22000</v>
      </c>
      <c r="I61">
        <v>44000</v>
      </c>
      <c r="J61" t="s">
        <v>31</v>
      </c>
      <c r="K61">
        <v>5</v>
      </c>
    </row>
    <row r="62" spans="1:11" x14ac:dyDescent="0.3">
      <c r="A62">
        <v>1061</v>
      </c>
      <c r="B62" s="2">
        <v>46044.643286573133</v>
      </c>
      <c r="C62" t="s">
        <v>48</v>
      </c>
      <c r="D62" t="s">
        <v>26</v>
      </c>
      <c r="E62" t="s">
        <v>29</v>
      </c>
      <c r="F62" t="s">
        <v>19</v>
      </c>
      <c r="G62">
        <v>2</v>
      </c>
      <c r="H62">
        <v>12000</v>
      </c>
      <c r="I62">
        <v>24000</v>
      </c>
      <c r="J62" t="s">
        <v>31</v>
      </c>
      <c r="K62">
        <v>4</v>
      </c>
    </row>
    <row r="63" spans="1:11" x14ac:dyDescent="0.3">
      <c r="A63">
        <v>1062</v>
      </c>
      <c r="B63" s="2">
        <v>46045.004008016032</v>
      </c>
      <c r="C63" t="s">
        <v>48</v>
      </c>
      <c r="D63" t="s">
        <v>22</v>
      </c>
      <c r="E63" t="s">
        <v>39</v>
      </c>
      <c r="F63" t="s">
        <v>19</v>
      </c>
      <c r="G63">
        <v>2</v>
      </c>
      <c r="H63">
        <v>25000</v>
      </c>
      <c r="I63">
        <v>50000</v>
      </c>
      <c r="J63" t="s">
        <v>31</v>
      </c>
      <c r="K63">
        <v>5</v>
      </c>
    </row>
    <row r="64" spans="1:11" x14ac:dyDescent="0.3">
      <c r="A64">
        <v>1063</v>
      </c>
      <c r="B64" s="2">
        <v>46045.36472945891</v>
      </c>
      <c r="C64" t="s">
        <v>21</v>
      </c>
      <c r="D64" t="s">
        <v>44</v>
      </c>
      <c r="E64" t="s">
        <v>13</v>
      </c>
      <c r="F64" t="s">
        <v>14</v>
      </c>
      <c r="G64">
        <v>3</v>
      </c>
      <c r="H64">
        <v>1500</v>
      </c>
      <c r="I64">
        <v>4500</v>
      </c>
      <c r="J64" t="s">
        <v>20</v>
      </c>
      <c r="K64">
        <v>3</v>
      </c>
    </row>
    <row r="65" spans="1:11" x14ac:dyDescent="0.3">
      <c r="A65">
        <v>1064</v>
      </c>
      <c r="B65" s="2">
        <v>46045.725450901788</v>
      </c>
      <c r="C65" t="s">
        <v>47</v>
      </c>
      <c r="D65" t="s">
        <v>12</v>
      </c>
      <c r="E65" t="s">
        <v>13</v>
      </c>
      <c r="F65" t="s">
        <v>14</v>
      </c>
      <c r="G65">
        <v>4</v>
      </c>
      <c r="H65">
        <v>2000</v>
      </c>
      <c r="I65">
        <v>8000</v>
      </c>
      <c r="J65" t="s">
        <v>31</v>
      </c>
      <c r="K65">
        <v>4</v>
      </c>
    </row>
    <row r="66" spans="1:11" x14ac:dyDescent="0.3">
      <c r="A66">
        <v>1065</v>
      </c>
      <c r="B66" s="2">
        <v>46046.086172344687</v>
      </c>
      <c r="C66" t="s">
        <v>32</v>
      </c>
      <c r="D66" t="s">
        <v>44</v>
      </c>
      <c r="E66" t="s">
        <v>43</v>
      </c>
      <c r="F66" t="s">
        <v>14</v>
      </c>
      <c r="G66">
        <v>1</v>
      </c>
      <c r="H66">
        <v>800</v>
      </c>
      <c r="I66">
        <v>800</v>
      </c>
      <c r="J66" t="s">
        <v>45</v>
      </c>
      <c r="K66">
        <v>5</v>
      </c>
    </row>
    <row r="67" spans="1:11" x14ac:dyDescent="0.3">
      <c r="A67">
        <v>1066</v>
      </c>
      <c r="B67" s="2">
        <v>46046.446893787572</v>
      </c>
      <c r="C67" t="s">
        <v>40</v>
      </c>
      <c r="D67" t="s">
        <v>38</v>
      </c>
      <c r="E67" t="s">
        <v>27</v>
      </c>
      <c r="F67" t="s">
        <v>19</v>
      </c>
      <c r="G67">
        <v>2</v>
      </c>
      <c r="H67">
        <v>54500</v>
      </c>
      <c r="I67">
        <v>109000</v>
      </c>
      <c r="J67" t="s">
        <v>20</v>
      </c>
      <c r="K67">
        <v>4</v>
      </c>
    </row>
    <row r="68" spans="1:11" x14ac:dyDescent="0.3">
      <c r="A68">
        <v>1067</v>
      </c>
      <c r="B68" s="2">
        <v>46046.807615230449</v>
      </c>
      <c r="C68" t="s">
        <v>21</v>
      </c>
      <c r="D68" t="s">
        <v>22</v>
      </c>
      <c r="E68" t="s">
        <v>27</v>
      </c>
      <c r="F68" t="s">
        <v>19</v>
      </c>
      <c r="G68">
        <v>1</v>
      </c>
      <c r="H68">
        <v>55000</v>
      </c>
      <c r="I68">
        <v>55000</v>
      </c>
      <c r="J68" t="s">
        <v>15</v>
      </c>
      <c r="K68">
        <v>3</v>
      </c>
    </row>
    <row r="69" spans="1:11" x14ac:dyDescent="0.3">
      <c r="A69">
        <v>1068</v>
      </c>
      <c r="B69" s="2">
        <v>46047.168336673341</v>
      </c>
      <c r="C69" t="s">
        <v>16</v>
      </c>
      <c r="D69" t="s">
        <v>44</v>
      </c>
      <c r="E69" t="s">
        <v>39</v>
      </c>
      <c r="F69" t="s">
        <v>19</v>
      </c>
      <c r="G69">
        <v>1</v>
      </c>
      <c r="H69">
        <v>25000</v>
      </c>
      <c r="I69">
        <v>25000</v>
      </c>
      <c r="J69" t="s">
        <v>31</v>
      </c>
      <c r="K69">
        <v>4</v>
      </c>
    </row>
    <row r="70" spans="1:11" x14ac:dyDescent="0.3">
      <c r="A70">
        <v>1069</v>
      </c>
      <c r="B70" s="2">
        <v>46047.529058116234</v>
      </c>
      <c r="C70" t="s">
        <v>48</v>
      </c>
      <c r="D70" t="s">
        <v>22</v>
      </c>
      <c r="E70" t="s">
        <v>29</v>
      </c>
      <c r="F70" t="s">
        <v>19</v>
      </c>
      <c r="G70">
        <v>3</v>
      </c>
      <c r="H70">
        <v>12000</v>
      </c>
      <c r="I70">
        <v>36000</v>
      </c>
      <c r="J70" t="s">
        <v>31</v>
      </c>
      <c r="K70">
        <v>4</v>
      </c>
    </row>
    <row r="71" spans="1:11" x14ac:dyDescent="0.3">
      <c r="A71">
        <v>1070</v>
      </c>
      <c r="B71" s="2">
        <v>46047.889779559111</v>
      </c>
      <c r="C71" t="s">
        <v>11</v>
      </c>
      <c r="D71" t="s">
        <v>38</v>
      </c>
      <c r="E71" t="s">
        <v>39</v>
      </c>
      <c r="F71" t="s">
        <v>19</v>
      </c>
      <c r="G71">
        <v>2</v>
      </c>
      <c r="H71">
        <v>25000</v>
      </c>
      <c r="I71">
        <v>50000</v>
      </c>
      <c r="J71" t="s">
        <v>15</v>
      </c>
      <c r="K71">
        <v>4</v>
      </c>
    </row>
    <row r="72" spans="1:11" x14ac:dyDescent="0.3">
      <c r="A72">
        <v>1071</v>
      </c>
      <c r="B72" s="2">
        <v>46048.250501002003</v>
      </c>
      <c r="C72" t="s">
        <v>30</v>
      </c>
      <c r="D72" t="s">
        <v>17</v>
      </c>
      <c r="E72" t="s">
        <v>33</v>
      </c>
      <c r="F72" t="s">
        <v>14</v>
      </c>
      <c r="G72">
        <v>1</v>
      </c>
      <c r="H72">
        <v>2500</v>
      </c>
      <c r="I72">
        <v>2500</v>
      </c>
      <c r="J72" t="s">
        <v>45</v>
      </c>
      <c r="K72">
        <v>5</v>
      </c>
    </row>
    <row r="73" spans="1:11" x14ac:dyDescent="0.3">
      <c r="A73">
        <v>1072</v>
      </c>
      <c r="B73" s="2">
        <v>46048.611222444881</v>
      </c>
      <c r="C73" t="s">
        <v>48</v>
      </c>
      <c r="D73" t="s">
        <v>22</v>
      </c>
      <c r="E73" t="s">
        <v>39</v>
      </c>
      <c r="F73" t="s">
        <v>19</v>
      </c>
      <c r="G73">
        <v>2</v>
      </c>
      <c r="H73">
        <v>25000</v>
      </c>
      <c r="I73">
        <v>50000</v>
      </c>
      <c r="J73" t="s">
        <v>20</v>
      </c>
      <c r="K73">
        <v>4</v>
      </c>
    </row>
    <row r="74" spans="1:11" x14ac:dyDescent="0.3">
      <c r="A74">
        <v>1073</v>
      </c>
      <c r="B74" s="2">
        <v>46048.971943887773</v>
      </c>
      <c r="C74" t="s">
        <v>25</v>
      </c>
      <c r="D74" t="s">
        <v>44</v>
      </c>
      <c r="E74" t="s">
        <v>23</v>
      </c>
      <c r="F74" t="s">
        <v>24</v>
      </c>
      <c r="G74">
        <v>1</v>
      </c>
      <c r="H74">
        <v>14500</v>
      </c>
      <c r="I74">
        <v>14500</v>
      </c>
      <c r="J74" t="s">
        <v>15</v>
      </c>
      <c r="K74">
        <v>5</v>
      </c>
    </row>
    <row r="75" spans="1:11" x14ac:dyDescent="0.3">
      <c r="A75">
        <v>1074</v>
      </c>
      <c r="B75" s="2">
        <v>46049.332665330658</v>
      </c>
      <c r="C75" t="s">
        <v>34</v>
      </c>
      <c r="D75" t="s">
        <v>22</v>
      </c>
      <c r="E75" t="s">
        <v>23</v>
      </c>
      <c r="F75" t="s">
        <v>24</v>
      </c>
      <c r="G75">
        <v>1</v>
      </c>
      <c r="H75">
        <v>14000</v>
      </c>
      <c r="I75">
        <v>14000</v>
      </c>
      <c r="J75" t="s">
        <v>15</v>
      </c>
      <c r="K75">
        <v>4</v>
      </c>
    </row>
    <row r="76" spans="1:11" x14ac:dyDescent="0.3">
      <c r="A76">
        <v>1075</v>
      </c>
      <c r="B76" s="2">
        <v>46049.693386773542</v>
      </c>
      <c r="C76" t="s">
        <v>46</v>
      </c>
      <c r="D76" t="s">
        <v>17</v>
      </c>
      <c r="E76" t="s">
        <v>23</v>
      </c>
      <c r="F76" t="s">
        <v>24</v>
      </c>
      <c r="G76">
        <v>2</v>
      </c>
      <c r="H76">
        <v>14000</v>
      </c>
      <c r="I76">
        <v>28000</v>
      </c>
      <c r="J76" t="s">
        <v>20</v>
      </c>
      <c r="K76">
        <v>3</v>
      </c>
    </row>
    <row r="77" spans="1:11" x14ac:dyDescent="0.3">
      <c r="A77">
        <v>1076</v>
      </c>
      <c r="B77" s="2">
        <v>46050.05410821642</v>
      </c>
      <c r="C77" t="s">
        <v>32</v>
      </c>
      <c r="D77" t="s">
        <v>12</v>
      </c>
      <c r="E77" t="s">
        <v>13</v>
      </c>
      <c r="F77" t="s">
        <v>14</v>
      </c>
      <c r="G77">
        <v>1</v>
      </c>
      <c r="H77">
        <v>1500</v>
      </c>
      <c r="I77">
        <v>1500</v>
      </c>
      <c r="J77" t="s">
        <v>15</v>
      </c>
      <c r="K77">
        <v>4</v>
      </c>
    </row>
    <row r="78" spans="1:11" x14ac:dyDescent="0.3">
      <c r="A78">
        <v>1077</v>
      </c>
      <c r="B78" s="2">
        <v>46050.414829659319</v>
      </c>
      <c r="C78" t="s">
        <v>48</v>
      </c>
      <c r="D78" t="s">
        <v>22</v>
      </c>
      <c r="E78" t="s">
        <v>43</v>
      </c>
      <c r="F78" t="s">
        <v>14</v>
      </c>
      <c r="G78">
        <v>1</v>
      </c>
      <c r="H78">
        <v>800</v>
      </c>
      <c r="I78">
        <v>800</v>
      </c>
      <c r="J78" t="s">
        <v>15</v>
      </c>
      <c r="K78">
        <v>5</v>
      </c>
    </row>
    <row r="79" spans="1:11" x14ac:dyDescent="0.3">
      <c r="A79">
        <v>1078</v>
      </c>
      <c r="B79" s="2">
        <v>46050.775551102197</v>
      </c>
      <c r="C79" t="s">
        <v>51</v>
      </c>
      <c r="D79" t="s">
        <v>12</v>
      </c>
      <c r="E79" t="s">
        <v>39</v>
      </c>
      <c r="F79" t="s">
        <v>19</v>
      </c>
      <c r="G79">
        <v>1</v>
      </c>
      <c r="H79">
        <v>25500</v>
      </c>
      <c r="I79">
        <v>25500</v>
      </c>
      <c r="J79" t="s">
        <v>15</v>
      </c>
      <c r="K79">
        <v>5</v>
      </c>
    </row>
    <row r="80" spans="1:11" x14ac:dyDescent="0.3">
      <c r="A80">
        <v>1079</v>
      </c>
      <c r="B80" s="2">
        <v>46051.136272545082</v>
      </c>
      <c r="C80" t="s">
        <v>36</v>
      </c>
      <c r="D80" t="s">
        <v>44</v>
      </c>
      <c r="E80" t="s">
        <v>23</v>
      </c>
      <c r="F80" t="s">
        <v>24</v>
      </c>
      <c r="G80">
        <v>1</v>
      </c>
      <c r="H80">
        <v>14000</v>
      </c>
      <c r="I80">
        <v>14000</v>
      </c>
      <c r="J80" t="s">
        <v>15</v>
      </c>
      <c r="K80">
        <v>4</v>
      </c>
    </row>
    <row r="81" spans="1:11" x14ac:dyDescent="0.3">
      <c r="A81">
        <v>1080</v>
      </c>
      <c r="B81" s="2">
        <v>46051.496993987967</v>
      </c>
      <c r="C81" t="s">
        <v>48</v>
      </c>
      <c r="D81" t="s">
        <v>44</v>
      </c>
      <c r="E81" t="s">
        <v>18</v>
      </c>
      <c r="F81" t="s">
        <v>19</v>
      </c>
      <c r="G81">
        <v>5</v>
      </c>
      <c r="H81">
        <v>22000</v>
      </c>
      <c r="I81">
        <v>110000</v>
      </c>
      <c r="J81" t="s">
        <v>15</v>
      </c>
      <c r="K81">
        <v>3</v>
      </c>
    </row>
    <row r="82" spans="1:11" x14ac:dyDescent="0.3">
      <c r="A82">
        <v>1081</v>
      </c>
      <c r="B82" s="2">
        <v>46051.857715430859</v>
      </c>
      <c r="C82" t="s">
        <v>48</v>
      </c>
      <c r="D82" t="s">
        <v>44</v>
      </c>
      <c r="E82" t="s">
        <v>27</v>
      </c>
      <c r="F82" t="s">
        <v>19</v>
      </c>
      <c r="G82">
        <v>1</v>
      </c>
      <c r="H82">
        <v>54500</v>
      </c>
      <c r="I82">
        <v>54500</v>
      </c>
      <c r="J82" t="s">
        <v>20</v>
      </c>
      <c r="K82">
        <v>5</v>
      </c>
    </row>
    <row r="83" spans="1:11" x14ac:dyDescent="0.3">
      <c r="A83">
        <v>1082</v>
      </c>
      <c r="B83" s="2">
        <v>46052.218436873743</v>
      </c>
      <c r="C83" t="s">
        <v>42</v>
      </c>
      <c r="D83" t="s">
        <v>38</v>
      </c>
      <c r="E83" t="s">
        <v>29</v>
      </c>
      <c r="F83" t="s">
        <v>19</v>
      </c>
      <c r="G83">
        <v>3</v>
      </c>
      <c r="H83">
        <v>12500</v>
      </c>
      <c r="I83">
        <v>37500</v>
      </c>
      <c r="J83" t="s">
        <v>15</v>
      </c>
      <c r="K83">
        <v>4</v>
      </c>
    </row>
    <row r="84" spans="1:11" x14ac:dyDescent="0.3">
      <c r="A84">
        <v>1083</v>
      </c>
      <c r="B84" s="2">
        <v>46052.579158316628</v>
      </c>
      <c r="C84" t="s">
        <v>49</v>
      </c>
      <c r="D84" t="s">
        <v>22</v>
      </c>
      <c r="E84" t="s">
        <v>27</v>
      </c>
      <c r="F84" t="s">
        <v>19</v>
      </c>
      <c r="G84">
        <v>4</v>
      </c>
      <c r="H84">
        <v>55000</v>
      </c>
      <c r="I84">
        <v>220000</v>
      </c>
      <c r="J84" t="s">
        <v>45</v>
      </c>
      <c r="K84">
        <v>3</v>
      </c>
    </row>
    <row r="85" spans="1:11" x14ac:dyDescent="0.3">
      <c r="A85">
        <v>1084</v>
      </c>
      <c r="B85" s="2">
        <v>46052.939879759513</v>
      </c>
      <c r="C85" t="s">
        <v>41</v>
      </c>
      <c r="D85" t="s">
        <v>38</v>
      </c>
      <c r="E85" t="s">
        <v>43</v>
      </c>
      <c r="F85" t="s">
        <v>14</v>
      </c>
      <c r="G85">
        <v>1</v>
      </c>
      <c r="H85">
        <v>800</v>
      </c>
      <c r="I85">
        <v>800</v>
      </c>
      <c r="J85" t="s">
        <v>15</v>
      </c>
      <c r="K85">
        <v>5</v>
      </c>
    </row>
    <row r="86" spans="1:11" x14ac:dyDescent="0.3">
      <c r="A86">
        <v>1085</v>
      </c>
      <c r="B86" s="2">
        <v>46053.300601202398</v>
      </c>
      <c r="C86" t="s">
        <v>48</v>
      </c>
      <c r="D86" t="s">
        <v>44</v>
      </c>
      <c r="E86" t="s">
        <v>23</v>
      </c>
      <c r="F86" t="s">
        <v>24</v>
      </c>
      <c r="G86">
        <v>1</v>
      </c>
      <c r="H86">
        <v>14000</v>
      </c>
      <c r="I86">
        <v>14000</v>
      </c>
      <c r="J86" t="s">
        <v>31</v>
      </c>
      <c r="K86">
        <v>5</v>
      </c>
    </row>
    <row r="87" spans="1:11" x14ac:dyDescent="0.3">
      <c r="A87">
        <v>1086</v>
      </c>
      <c r="B87" s="2">
        <v>46053.66132264529</v>
      </c>
      <c r="C87" t="s">
        <v>51</v>
      </c>
      <c r="D87" t="s">
        <v>12</v>
      </c>
      <c r="E87" t="s">
        <v>43</v>
      </c>
      <c r="F87" t="s">
        <v>14</v>
      </c>
      <c r="G87">
        <v>1</v>
      </c>
      <c r="H87">
        <v>300</v>
      </c>
      <c r="I87">
        <v>300</v>
      </c>
      <c r="J87" t="s">
        <v>31</v>
      </c>
      <c r="K87">
        <v>4</v>
      </c>
    </row>
    <row r="88" spans="1:11" x14ac:dyDescent="0.3">
      <c r="A88">
        <v>1087</v>
      </c>
      <c r="B88" s="2">
        <v>46054.022044088168</v>
      </c>
      <c r="C88" t="s">
        <v>51</v>
      </c>
      <c r="D88" t="s">
        <v>22</v>
      </c>
      <c r="E88" t="s">
        <v>33</v>
      </c>
      <c r="F88" t="s">
        <v>14</v>
      </c>
      <c r="G88">
        <v>4</v>
      </c>
      <c r="H88">
        <v>2500</v>
      </c>
      <c r="I88">
        <v>10000</v>
      </c>
      <c r="J88" t="s">
        <v>45</v>
      </c>
      <c r="K88">
        <v>4</v>
      </c>
    </row>
    <row r="89" spans="1:11" x14ac:dyDescent="0.3">
      <c r="A89">
        <v>1088</v>
      </c>
      <c r="B89" s="2">
        <v>46054.382765531052</v>
      </c>
      <c r="C89" t="s">
        <v>32</v>
      </c>
      <c r="D89" t="s">
        <v>12</v>
      </c>
      <c r="E89" t="s">
        <v>29</v>
      </c>
      <c r="F89" t="s">
        <v>19</v>
      </c>
      <c r="G89">
        <v>3</v>
      </c>
      <c r="H89">
        <v>12500</v>
      </c>
      <c r="I89">
        <v>37500</v>
      </c>
      <c r="J89" t="s">
        <v>20</v>
      </c>
      <c r="K89">
        <v>4</v>
      </c>
    </row>
    <row r="90" spans="1:11" x14ac:dyDescent="0.3">
      <c r="A90">
        <v>1089</v>
      </c>
      <c r="B90" s="2">
        <v>46054.743486973937</v>
      </c>
      <c r="C90" t="s">
        <v>16</v>
      </c>
      <c r="D90" t="s">
        <v>44</v>
      </c>
      <c r="E90" t="s">
        <v>43</v>
      </c>
      <c r="F90" t="s">
        <v>14</v>
      </c>
      <c r="G90">
        <v>1</v>
      </c>
      <c r="H90">
        <v>1300</v>
      </c>
      <c r="I90">
        <v>1300</v>
      </c>
      <c r="J90" t="s">
        <v>15</v>
      </c>
      <c r="K90">
        <v>5</v>
      </c>
    </row>
    <row r="91" spans="1:11" x14ac:dyDescent="0.3">
      <c r="A91">
        <v>1090</v>
      </c>
      <c r="B91" s="2">
        <v>46055.104208416829</v>
      </c>
      <c r="C91" t="s">
        <v>50</v>
      </c>
      <c r="D91" t="s">
        <v>38</v>
      </c>
      <c r="E91" t="s">
        <v>13</v>
      </c>
      <c r="F91" t="s">
        <v>14</v>
      </c>
      <c r="G91">
        <v>2</v>
      </c>
      <c r="H91">
        <v>1500</v>
      </c>
      <c r="I91">
        <v>3000</v>
      </c>
      <c r="J91" t="s">
        <v>15</v>
      </c>
      <c r="K91">
        <v>5</v>
      </c>
    </row>
    <row r="92" spans="1:11" x14ac:dyDescent="0.3">
      <c r="A92">
        <v>1091</v>
      </c>
      <c r="B92" s="2">
        <v>46055.464929859707</v>
      </c>
      <c r="C92" t="s">
        <v>41</v>
      </c>
      <c r="D92" t="s">
        <v>38</v>
      </c>
      <c r="E92" t="s">
        <v>43</v>
      </c>
      <c r="F92" t="s">
        <v>14</v>
      </c>
      <c r="G92">
        <v>1</v>
      </c>
      <c r="H92">
        <v>800</v>
      </c>
      <c r="I92">
        <v>800</v>
      </c>
      <c r="J92" t="s">
        <v>31</v>
      </c>
      <c r="K92">
        <v>4</v>
      </c>
    </row>
    <row r="93" spans="1:11" x14ac:dyDescent="0.3">
      <c r="A93">
        <v>1092</v>
      </c>
      <c r="B93" s="2">
        <v>46055.825651302614</v>
      </c>
      <c r="C93" t="s">
        <v>42</v>
      </c>
      <c r="D93" t="s">
        <v>44</v>
      </c>
      <c r="E93" t="s">
        <v>43</v>
      </c>
      <c r="F93" t="s">
        <v>14</v>
      </c>
      <c r="G93">
        <v>1</v>
      </c>
      <c r="H93">
        <v>800</v>
      </c>
      <c r="I93">
        <v>800</v>
      </c>
      <c r="J93" t="s">
        <v>15</v>
      </c>
      <c r="K93">
        <v>4</v>
      </c>
    </row>
    <row r="94" spans="1:11" x14ac:dyDescent="0.3">
      <c r="A94">
        <v>1093</v>
      </c>
      <c r="B94" s="2">
        <v>46056.186372745477</v>
      </c>
      <c r="C94" t="s">
        <v>48</v>
      </c>
      <c r="D94" t="s">
        <v>26</v>
      </c>
      <c r="E94" t="s">
        <v>29</v>
      </c>
      <c r="F94" t="s">
        <v>19</v>
      </c>
      <c r="G94">
        <v>1</v>
      </c>
      <c r="H94">
        <v>12000</v>
      </c>
      <c r="I94">
        <v>12000</v>
      </c>
      <c r="J94" t="s">
        <v>15</v>
      </c>
      <c r="K94">
        <v>4</v>
      </c>
    </row>
    <row r="95" spans="1:11" x14ac:dyDescent="0.3">
      <c r="A95">
        <v>1094</v>
      </c>
      <c r="B95" s="2">
        <v>46056.547094188369</v>
      </c>
      <c r="C95" t="s">
        <v>46</v>
      </c>
      <c r="D95" t="s">
        <v>44</v>
      </c>
      <c r="E95" t="s">
        <v>27</v>
      </c>
      <c r="F95" t="s">
        <v>19</v>
      </c>
      <c r="G95">
        <v>2</v>
      </c>
      <c r="H95">
        <v>55000</v>
      </c>
      <c r="I95">
        <v>110000</v>
      </c>
      <c r="J95" t="s">
        <v>15</v>
      </c>
      <c r="K95">
        <v>5</v>
      </c>
    </row>
    <row r="96" spans="1:11" x14ac:dyDescent="0.3">
      <c r="A96">
        <v>1095</v>
      </c>
      <c r="B96" s="2">
        <v>46056.907815631261</v>
      </c>
      <c r="C96" t="s">
        <v>25</v>
      </c>
      <c r="D96" t="s">
        <v>26</v>
      </c>
      <c r="E96" t="s">
        <v>27</v>
      </c>
      <c r="F96" t="s">
        <v>19</v>
      </c>
      <c r="G96">
        <v>2</v>
      </c>
      <c r="H96">
        <v>55500</v>
      </c>
      <c r="I96">
        <v>111000</v>
      </c>
      <c r="J96" t="s">
        <v>15</v>
      </c>
      <c r="K96">
        <v>5</v>
      </c>
    </row>
    <row r="97" spans="1:11" x14ac:dyDescent="0.3">
      <c r="A97">
        <v>1096</v>
      </c>
      <c r="B97" s="2">
        <v>46057.268537074153</v>
      </c>
      <c r="C97" t="s">
        <v>47</v>
      </c>
      <c r="D97" t="s">
        <v>38</v>
      </c>
      <c r="E97" t="s">
        <v>29</v>
      </c>
      <c r="F97" t="s">
        <v>19</v>
      </c>
      <c r="G97">
        <v>2</v>
      </c>
      <c r="H97">
        <v>11500</v>
      </c>
      <c r="I97">
        <v>23000</v>
      </c>
      <c r="J97" t="s">
        <v>20</v>
      </c>
      <c r="K97">
        <v>4</v>
      </c>
    </row>
    <row r="98" spans="1:11" x14ac:dyDescent="0.3">
      <c r="A98">
        <v>1097</v>
      </c>
      <c r="B98" s="2">
        <v>46057.629258517023</v>
      </c>
      <c r="C98" t="s">
        <v>41</v>
      </c>
      <c r="D98" t="s">
        <v>38</v>
      </c>
      <c r="E98" t="s">
        <v>29</v>
      </c>
      <c r="F98" t="s">
        <v>19</v>
      </c>
      <c r="G98">
        <v>1</v>
      </c>
      <c r="H98">
        <v>12000</v>
      </c>
      <c r="I98">
        <v>12000</v>
      </c>
      <c r="J98" t="s">
        <v>15</v>
      </c>
      <c r="K98">
        <v>4</v>
      </c>
    </row>
    <row r="99" spans="1:11" x14ac:dyDescent="0.3">
      <c r="A99">
        <v>1098</v>
      </c>
      <c r="B99" s="2">
        <v>46057.989979959922</v>
      </c>
      <c r="C99" t="s">
        <v>11</v>
      </c>
      <c r="D99" t="s">
        <v>26</v>
      </c>
      <c r="E99" t="s">
        <v>13</v>
      </c>
      <c r="F99" t="s">
        <v>14</v>
      </c>
      <c r="G99">
        <v>1</v>
      </c>
      <c r="H99">
        <v>1500</v>
      </c>
      <c r="I99">
        <v>1500</v>
      </c>
      <c r="J99" t="s">
        <v>15</v>
      </c>
      <c r="K99">
        <v>3</v>
      </c>
    </row>
    <row r="100" spans="1:11" x14ac:dyDescent="0.3">
      <c r="A100">
        <v>1099</v>
      </c>
      <c r="B100" s="2">
        <v>46058.3507014028</v>
      </c>
      <c r="C100" t="s">
        <v>41</v>
      </c>
      <c r="D100" t="s">
        <v>22</v>
      </c>
      <c r="E100" t="s">
        <v>18</v>
      </c>
      <c r="F100" t="s">
        <v>19</v>
      </c>
      <c r="G100">
        <v>2</v>
      </c>
      <c r="H100">
        <v>22000</v>
      </c>
      <c r="I100">
        <v>44000</v>
      </c>
      <c r="J100" t="s">
        <v>31</v>
      </c>
      <c r="K100">
        <v>3</v>
      </c>
    </row>
    <row r="101" spans="1:11" x14ac:dyDescent="0.3">
      <c r="A101">
        <v>1100</v>
      </c>
      <c r="B101" s="2">
        <v>46058.711422845678</v>
      </c>
      <c r="C101" t="s">
        <v>48</v>
      </c>
      <c r="D101" t="s">
        <v>17</v>
      </c>
      <c r="E101" t="s">
        <v>29</v>
      </c>
      <c r="F101" t="s">
        <v>19</v>
      </c>
      <c r="G101">
        <v>2</v>
      </c>
      <c r="H101">
        <v>12000</v>
      </c>
      <c r="I101">
        <v>24000</v>
      </c>
      <c r="J101" t="s">
        <v>15</v>
      </c>
      <c r="K101">
        <v>4</v>
      </c>
    </row>
    <row r="102" spans="1:11" x14ac:dyDescent="0.3">
      <c r="A102">
        <v>1101</v>
      </c>
      <c r="B102" s="2">
        <v>46059.072144288577</v>
      </c>
      <c r="C102" t="s">
        <v>36</v>
      </c>
      <c r="D102" t="s">
        <v>26</v>
      </c>
      <c r="E102" t="s">
        <v>13</v>
      </c>
      <c r="F102" t="s">
        <v>14</v>
      </c>
      <c r="G102">
        <v>2</v>
      </c>
      <c r="H102">
        <v>1500</v>
      </c>
      <c r="I102">
        <v>3000</v>
      </c>
      <c r="J102" t="s">
        <v>31</v>
      </c>
      <c r="K102">
        <v>4</v>
      </c>
    </row>
    <row r="103" spans="1:11" x14ac:dyDescent="0.3">
      <c r="A103">
        <v>1102</v>
      </c>
      <c r="B103" s="2">
        <v>46059.432865731462</v>
      </c>
      <c r="C103" t="s">
        <v>32</v>
      </c>
      <c r="D103" t="s">
        <v>26</v>
      </c>
      <c r="E103" t="s">
        <v>27</v>
      </c>
      <c r="F103" t="s">
        <v>19</v>
      </c>
      <c r="G103">
        <v>1</v>
      </c>
      <c r="H103">
        <v>55000</v>
      </c>
      <c r="I103">
        <v>55000</v>
      </c>
      <c r="J103" t="s">
        <v>15</v>
      </c>
      <c r="K103">
        <v>4</v>
      </c>
    </row>
    <row r="104" spans="1:11" x14ac:dyDescent="0.3">
      <c r="A104">
        <v>1103</v>
      </c>
      <c r="B104" s="2">
        <v>46059.793587174339</v>
      </c>
      <c r="C104" t="s">
        <v>47</v>
      </c>
      <c r="D104" t="s">
        <v>44</v>
      </c>
      <c r="E104" t="s">
        <v>43</v>
      </c>
      <c r="F104" t="s">
        <v>14</v>
      </c>
      <c r="G104">
        <v>3</v>
      </c>
      <c r="H104">
        <v>300</v>
      </c>
      <c r="I104">
        <v>900</v>
      </c>
      <c r="J104" t="s">
        <v>20</v>
      </c>
      <c r="K104">
        <v>3</v>
      </c>
    </row>
    <row r="105" spans="1:11" x14ac:dyDescent="0.3">
      <c r="A105">
        <v>1104</v>
      </c>
      <c r="B105" s="2">
        <v>46060.154308617231</v>
      </c>
      <c r="C105" t="s">
        <v>51</v>
      </c>
      <c r="D105" t="s">
        <v>26</v>
      </c>
      <c r="E105" t="s">
        <v>13</v>
      </c>
      <c r="F105" t="s">
        <v>14</v>
      </c>
      <c r="G105">
        <v>4</v>
      </c>
      <c r="H105">
        <v>1500</v>
      </c>
      <c r="I105">
        <v>6000</v>
      </c>
      <c r="J105" t="s">
        <v>15</v>
      </c>
      <c r="K105">
        <v>4</v>
      </c>
    </row>
    <row r="106" spans="1:11" x14ac:dyDescent="0.3">
      <c r="A106">
        <v>1105</v>
      </c>
      <c r="B106" s="2">
        <v>46060.515030060124</v>
      </c>
      <c r="C106" t="s">
        <v>37</v>
      </c>
      <c r="D106" t="s">
        <v>12</v>
      </c>
      <c r="E106" t="s">
        <v>39</v>
      </c>
      <c r="F106" t="s">
        <v>19</v>
      </c>
      <c r="G106">
        <v>4</v>
      </c>
      <c r="H106">
        <v>25000</v>
      </c>
      <c r="I106">
        <v>100000</v>
      </c>
      <c r="J106" t="s">
        <v>15</v>
      </c>
      <c r="K106">
        <v>5</v>
      </c>
    </row>
    <row r="107" spans="1:11" x14ac:dyDescent="0.3">
      <c r="A107">
        <v>1106</v>
      </c>
      <c r="B107" s="2">
        <v>46060.875751503001</v>
      </c>
      <c r="C107" t="s">
        <v>49</v>
      </c>
      <c r="D107" t="s">
        <v>17</v>
      </c>
      <c r="E107" t="s">
        <v>43</v>
      </c>
      <c r="F107" t="s">
        <v>14</v>
      </c>
      <c r="G107">
        <v>1</v>
      </c>
      <c r="H107">
        <v>800</v>
      </c>
      <c r="I107">
        <v>800</v>
      </c>
      <c r="J107" t="s">
        <v>15</v>
      </c>
      <c r="K107">
        <v>3</v>
      </c>
    </row>
    <row r="108" spans="1:11" x14ac:dyDescent="0.3">
      <c r="A108">
        <v>1107</v>
      </c>
      <c r="B108" s="2">
        <v>46061.236472945893</v>
      </c>
      <c r="C108" t="s">
        <v>46</v>
      </c>
      <c r="D108" t="s">
        <v>17</v>
      </c>
      <c r="E108" t="s">
        <v>29</v>
      </c>
      <c r="F108" t="s">
        <v>19</v>
      </c>
      <c r="G108">
        <v>1</v>
      </c>
      <c r="H108">
        <v>12000</v>
      </c>
      <c r="I108">
        <v>12000</v>
      </c>
      <c r="J108" t="s">
        <v>15</v>
      </c>
      <c r="K108">
        <v>5</v>
      </c>
    </row>
    <row r="109" spans="1:11" x14ac:dyDescent="0.3">
      <c r="A109">
        <v>1108</v>
      </c>
      <c r="B109" s="2">
        <v>46061.597194388771</v>
      </c>
      <c r="C109" t="s">
        <v>42</v>
      </c>
      <c r="D109" t="s">
        <v>17</v>
      </c>
      <c r="E109" t="s">
        <v>13</v>
      </c>
      <c r="F109" t="s">
        <v>14</v>
      </c>
      <c r="G109">
        <v>1</v>
      </c>
      <c r="H109">
        <v>1500</v>
      </c>
      <c r="I109">
        <v>1500</v>
      </c>
      <c r="J109" t="s">
        <v>15</v>
      </c>
      <c r="K109">
        <v>5</v>
      </c>
    </row>
    <row r="110" spans="1:11" x14ac:dyDescent="0.3">
      <c r="A110">
        <v>1109</v>
      </c>
      <c r="B110" s="2">
        <v>46061.957915831663</v>
      </c>
      <c r="C110" t="s">
        <v>28</v>
      </c>
      <c r="D110" t="s">
        <v>38</v>
      </c>
      <c r="E110" t="s">
        <v>27</v>
      </c>
      <c r="F110" t="s">
        <v>19</v>
      </c>
      <c r="G110">
        <v>1</v>
      </c>
      <c r="H110">
        <v>54500</v>
      </c>
      <c r="I110">
        <v>54500</v>
      </c>
      <c r="J110" t="s">
        <v>31</v>
      </c>
      <c r="K110">
        <v>5</v>
      </c>
    </row>
    <row r="111" spans="1:11" x14ac:dyDescent="0.3">
      <c r="A111">
        <v>1110</v>
      </c>
      <c r="B111" s="2">
        <v>46062.318637274548</v>
      </c>
      <c r="C111" t="s">
        <v>21</v>
      </c>
      <c r="D111" t="s">
        <v>12</v>
      </c>
      <c r="E111" t="s">
        <v>39</v>
      </c>
      <c r="F111" t="s">
        <v>19</v>
      </c>
      <c r="G111">
        <v>1</v>
      </c>
      <c r="H111">
        <v>25000</v>
      </c>
      <c r="I111">
        <v>25000</v>
      </c>
      <c r="J111" t="s">
        <v>15</v>
      </c>
      <c r="K111">
        <v>5</v>
      </c>
    </row>
    <row r="112" spans="1:11" x14ac:dyDescent="0.3">
      <c r="A112">
        <v>1111</v>
      </c>
      <c r="B112" s="2">
        <v>46062.679358717432</v>
      </c>
      <c r="C112" t="s">
        <v>37</v>
      </c>
      <c r="D112" t="s">
        <v>26</v>
      </c>
      <c r="E112" t="s">
        <v>23</v>
      </c>
      <c r="F112" t="s">
        <v>24</v>
      </c>
      <c r="G112">
        <v>1</v>
      </c>
      <c r="H112">
        <v>13500</v>
      </c>
      <c r="I112">
        <v>13500</v>
      </c>
      <c r="J112" t="s">
        <v>15</v>
      </c>
      <c r="K112">
        <v>5</v>
      </c>
    </row>
    <row r="113" spans="1:11" x14ac:dyDescent="0.3">
      <c r="A113">
        <v>1112</v>
      </c>
      <c r="B113" s="2">
        <v>46063.04008016031</v>
      </c>
      <c r="C113" t="s">
        <v>41</v>
      </c>
      <c r="D113" t="s">
        <v>44</v>
      </c>
      <c r="E113" t="s">
        <v>18</v>
      </c>
      <c r="F113" t="s">
        <v>19</v>
      </c>
      <c r="G113">
        <v>2</v>
      </c>
      <c r="H113">
        <v>22000</v>
      </c>
      <c r="I113">
        <v>44000</v>
      </c>
      <c r="J113" t="s">
        <v>15</v>
      </c>
      <c r="K113">
        <v>4</v>
      </c>
    </row>
    <row r="114" spans="1:11" x14ac:dyDescent="0.3">
      <c r="A114">
        <v>1113</v>
      </c>
      <c r="B114" s="2">
        <v>46063.400801603209</v>
      </c>
      <c r="C114" t="s">
        <v>42</v>
      </c>
      <c r="D114" t="s">
        <v>22</v>
      </c>
      <c r="E114" t="s">
        <v>29</v>
      </c>
      <c r="F114" t="s">
        <v>19</v>
      </c>
      <c r="G114">
        <v>4</v>
      </c>
      <c r="H114">
        <v>12000</v>
      </c>
      <c r="I114">
        <v>48000</v>
      </c>
      <c r="J114" t="s">
        <v>31</v>
      </c>
      <c r="K114">
        <v>4</v>
      </c>
    </row>
    <row r="115" spans="1:11" x14ac:dyDescent="0.3">
      <c r="A115">
        <v>1114</v>
      </c>
      <c r="B115" s="2">
        <v>46063.761523046087</v>
      </c>
      <c r="C115" t="s">
        <v>49</v>
      </c>
      <c r="D115" t="s">
        <v>22</v>
      </c>
      <c r="E115" t="s">
        <v>39</v>
      </c>
      <c r="F115" t="s">
        <v>19</v>
      </c>
      <c r="G115">
        <v>3</v>
      </c>
      <c r="H115">
        <v>25000</v>
      </c>
      <c r="I115">
        <v>75000</v>
      </c>
      <c r="J115" t="s">
        <v>15</v>
      </c>
      <c r="K115">
        <v>5</v>
      </c>
    </row>
    <row r="116" spans="1:11" x14ac:dyDescent="0.3">
      <c r="A116">
        <v>1115</v>
      </c>
      <c r="B116" s="2">
        <v>46064.122244488972</v>
      </c>
      <c r="C116" t="s">
        <v>47</v>
      </c>
      <c r="D116" t="s">
        <v>38</v>
      </c>
      <c r="E116" t="s">
        <v>13</v>
      </c>
      <c r="F116" t="s">
        <v>14</v>
      </c>
      <c r="G116">
        <v>2</v>
      </c>
      <c r="H116">
        <v>2000</v>
      </c>
      <c r="I116">
        <v>4000</v>
      </c>
      <c r="J116" t="s">
        <v>31</v>
      </c>
      <c r="K116">
        <v>4</v>
      </c>
    </row>
    <row r="117" spans="1:11" x14ac:dyDescent="0.3">
      <c r="A117">
        <v>1116</v>
      </c>
      <c r="B117" s="2">
        <v>46064.482965931857</v>
      </c>
      <c r="C117" t="s">
        <v>25</v>
      </c>
      <c r="D117" t="s">
        <v>44</v>
      </c>
      <c r="E117" t="s">
        <v>39</v>
      </c>
      <c r="F117" t="s">
        <v>19</v>
      </c>
      <c r="G117">
        <v>2</v>
      </c>
      <c r="H117">
        <v>25000</v>
      </c>
      <c r="I117">
        <v>50000</v>
      </c>
      <c r="J117" t="s">
        <v>31</v>
      </c>
      <c r="K117">
        <v>5</v>
      </c>
    </row>
    <row r="118" spans="1:11" x14ac:dyDescent="0.3">
      <c r="A118">
        <v>1117</v>
      </c>
      <c r="B118" s="2">
        <v>46064.843687374749</v>
      </c>
      <c r="C118" t="s">
        <v>40</v>
      </c>
      <c r="D118" t="s">
        <v>38</v>
      </c>
      <c r="E118" t="s">
        <v>29</v>
      </c>
      <c r="F118" t="s">
        <v>19</v>
      </c>
      <c r="G118">
        <v>5</v>
      </c>
      <c r="H118">
        <v>12000</v>
      </c>
      <c r="I118">
        <v>60000</v>
      </c>
      <c r="J118" t="s">
        <v>45</v>
      </c>
      <c r="K118">
        <v>3</v>
      </c>
    </row>
    <row r="119" spans="1:11" x14ac:dyDescent="0.3">
      <c r="A119">
        <v>1118</v>
      </c>
      <c r="B119" s="2">
        <v>46065.204408817634</v>
      </c>
      <c r="C119" t="s">
        <v>49</v>
      </c>
      <c r="D119" t="s">
        <v>26</v>
      </c>
      <c r="E119" t="s">
        <v>29</v>
      </c>
      <c r="F119" t="s">
        <v>19</v>
      </c>
      <c r="G119">
        <v>3</v>
      </c>
      <c r="H119">
        <v>12000</v>
      </c>
      <c r="I119">
        <v>36000</v>
      </c>
      <c r="J119" t="s">
        <v>45</v>
      </c>
      <c r="K119">
        <v>3</v>
      </c>
    </row>
    <row r="120" spans="1:11" x14ac:dyDescent="0.3">
      <c r="A120">
        <v>1119</v>
      </c>
      <c r="B120" s="2">
        <v>46065.565130260518</v>
      </c>
      <c r="C120" t="s">
        <v>37</v>
      </c>
      <c r="D120" t="s">
        <v>44</v>
      </c>
      <c r="E120" t="s">
        <v>18</v>
      </c>
      <c r="F120" t="s">
        <v>19</v>
      </c>
      <c r="G120">
        <v>1</v>
      </c>
      <c r="H120">
        <v>22000</v>
      </c>
      <c r="I120">
        <v>22000</v>
      </c>
      <c r="J120" t="s">
        <v>31</v>
      </c>
      <c r="K120">
        <v>4</v>
      </c>
    </row>
    <row r="121" spans="1:11" x14ac:dyDescent="0.3">
      <c r="A121">
        <v>1120</v>
      </c>
      <c r="B121" s="2">
        <v>46065.925851703403</v>
      </c>
      <c r="C121" t="s">
        <v>32</v>
      </c>
      <c r="D121" t="s">
        <v>17</v>
      </c>
      <c r="E121" t="s">
        <v>39</v>
      </c>
      <c r="F121" t="s">
        <v>19</v>
      </c>
      <c r="G121">
        <v>1</v>
      </c>
      <c r="H121">
        <v>25000</v>
      </c>
      <c r="I121">
        <v>25000</v>
      </c>
      <c r="J121" t="s">
        <v>31</v>
      </c>
      <c r="K121">
        <v>5</v>
      </c>
    </row>
    <row r="122" spans="1:11" x14ac:dyDescent="0.3">
      <c r="A122">
        <v>1121</v>
      </c>
      <c r="B122" s="2">
        <v>46066.286573146288</v>
      </c>
      <c r="C122" t="s">
        <v>51</v>
      </c>
      <c r="D122" t="s">
        <v>12</v>
      </c>
      <c r="E122" t="s">
        <v>18</v>
      </c>
      <c r="F122" t="s">
        <v>19</v>
      </c>
      <c r="G122">
        <v>4</v>
      </c>
      <c r="H122">
        <v>22000</v>
      </c>
      <c r="I122">
        <v>88000</v>
      </c>
      <c r="J122" t="s">
        <v>20</v>
      </c>
      <c r="K122">
        <v>4</v>
      </c>
    </row>
    <row r="123" spans="1:11" x14ac:dyDescent="0.3">
      <c r="A123">
        <v>1122</v>
      </c>
      <c r="B123" s="2">
        <v>46066.64729458918</v>
      </c>
      <c r="C123" t="s">
        <v>25</v>
      </c>
      <c r="D123" t="s">
        <v>17</v>
      </c>
      <c r="E123" t="s">
        <v>29</v>
      </c>
      <c r="F123" t="s">
        <v>19</v>
      </c>
      <c r="G123">
        <v>2</v>
      </c>
      <c r="H123">
        <v>12000</v>
      </c>
      <c r="I123">
        <v>24000</v>
      </c>
      <c r="J123" t="s">
        <v>31</v>
      </c>
      <c r="K123">
        <v>3</v>
      </c>
    </row>
    <row r="124" spans="1:11" x14ac:dyDescent="0.3">
      <c r="A124">
        <v>1123</v>
      </c>
      <c r="B124" s="2">
        <v>46067.008016032058</v>
      </c>
      <c r="C124" t="s">
        <v>42</v>
      </c>
      <c r="D124" t="s">
        <v>22</v>
      </c>
      <c r="E124" t="s">
        <v>23</v>
      </c>
      <c r="F124" t="s">
        <v>24</v>
      </c>
      <c r="G124">
        <v>3</v>
      </c>
      <c r="H124">
        <v>13500</v>
      </c>
      <c r="I124">
        <v>40500</v>
      </c>
      <c r="J124" t="s">
        <v>31</v>
      </c>
      <c r="K124">
        <v>5</v>
      </c>
    </row>
    <row r="125" spans="1:11" x14ac:dyDescent="0.3">
      <c r="A125">
        <v>1124</v>
      </c>
      <c r="B125" s="2">
        <v>46067.368737474942</v>
      </c>
      <c r="C125" t="s">
        <v>46</v>
      </c>
      <c r="D125" t="s">
        <v>22</v>
      </c>
      <c r="E125" t="s">
        <v>33</v>
      </c>
      <c r="F125" t="s">
        <v>14</v>
      </c>
      <c r="G125">
        <v>2</v>
      </c>
      <c r="H125">
        <v>3000</v>
      </c>
      <c r="I125">
        <v>6000</v>
      </c>
      <c r="J125" t="s">
        <v>15</v>
      </c>
      <c r="K125">
        <v>5</v>
      </c>
    </row>
    <row r="126" spans="1:11" x14ac:dyDescent="0.3">
      <c r="A126">
        <v>1125</v>
      </c>
      <c r="B126" s="2">
        <v>46067.729458917827</v>
      </c>
      <c r="C126" t="s">
        <v>47</v>
      </c>
      <c r="D126" t="s">
        <v>44</v>
      </c>
      <c r="E126" t="s">
        <v>18</v>
      </c>
      <c r="F126" t="s">
        <v>19</v>
      </c>
      <c r="G126">
        <v>1</v>
      </c>
      <c r="H126">
        <v>22500</v>
      </c>
      <c r="I126">
        <v>22500</v>
      </c>
      <c r="J126" t="s">
        <v>15</v>
      </c>
      <c r="K126">
        <v>5</v>
      </c>
    </row>
    <row r="127" spans="1:11" x14ac:dyDescent="0.3">
      <c r="A127">
        <v>1126</v>
      </c>
      <c r="B127" s="2">
        <v>46068.090180360719</v>
      </c>
      <c r="C127" t="s">
        <v>41</v>
      </c>
      <c r="D127" t="s">
        <v>17</v>
      </c>
      <c r="E127" t="s">
        <v>43</v>
      </c>
      <c r="F127" t="s">
        <v>14</v>
      </c>
      <c r="G127">
        <v>3</v>
      </c>
      <c r="H127">
        <v>800</v>
      </c>
      <c r="I127">
        <v>2400</v>
      </c>
      <c r="J127" t="s">
        <v>31</v>
      </c>
      <c r="K127">
        <v>5</v>
      </c>
    </row>
    <row r="128" spans="1:11" x14ac:dyDescent="0.3">
      <c r="A128">
        <v>1127</v>
      </c>
      <c r="B128" s="2">
        <v>46068.450901803597</v>
      </c>
      <c r="C128" t="s">
        <v>48</v>
      </c>
      <c r="D128" t="s">
        <v>38</v>
      </c>
      <c r="E128" t="s">
        <v>13</v>
      </c>
      <c r="F128" t="s">
        <v>14</v>
      </c>
      <c r="G128">
        <v>1</v>
      </c>
      <c r="H128">
        <v>1500</v>
      </c>
      <c r="I128">
        <v>1500</v>
      </c>
      <c r="J128" t="s">
        <v>15</v>
      </c>
      <c r="K128">
        <v>5</v>
      </c>
    </row>
    <row r="129" spans="1:11" x14ac:dyDescent="0.3">
      <c r="A129">
        <v>1128</v>
      </c>
      <c r="B129" s="2">
        <v>46068.811623246482</v>
      </c>
      <c r="C129" t="s">
        <v>49</v>
      </c>
      <c r="D129" t="s">
        <v>22</v>
      </c>
      <c r="E129" t="s">
        <v>43</v>
      </c>
      <c r="F129" t="s">
        <v>14</v>
      </c>
      <c r="G129">
        <v>2</v>
      </c>
      <c r="H129">
        <v>800</v>
      </c>
      <c r="I129">
        <v>1600</v>
      </c>
      <c r="J129" t="s">
        <v>45</v>
      </c>
      <c r="K129">
        <v>4</v>
      </c>
    </row>
    <row r="130" spans="1:11" x14ac:dyDescent="0.3">
      <c r="A130">
        <v>1129</v>
      </c>
      <c r="B130" s="2">
        <v>46069.172344689367</v>
      </c>
      <c r="C130" t="s">
        <v>48</v>
      </c>
      <c r="D130" t="s">
        <v>17</v>
      </c>
      <c r="E130" t="s">
        <v>43</v>
      </c>
      <c r="F130" t="s">
        <v>14</v>
      </c>
      <c r="G130">
        <v>1</v>
      </c>
      <c r="H130">
        <v>800</v>
      </c>
      <c r="I130">
        <v>800</v>
      </c>
      <c r="J130" t="s">
        <v>31</v>
      </c>
      <c r="K130">
        <v>5</v>
      </c>
    </row>
    <row r="131" spans="1:11" x14ac:dyDescent="0.3">
      <c r="A131">
        <v>1130</v>
      </c>
      <c r="B131" s="2">
        <v>46069.533066132259</v>
      </c>
      <c r="C131" t="s">
        <v>11</v>
      </c>
      <c r="D131" t="s">
        <v>22</v>
      </c>
      <c r="E131" t="s">
        <v>18</v>
      </c>
      <c r="F131" t="s">
        <v>19</v>
      </c>
      <c r="G131">
        <v>2</v>
      </c>
      <c r="H131">
        <v>22000</v>
      </c>
      <c r="I131">
        <v>44000</v>
      </c>
      <c r="J131" t="s">
        <v>15</v>
      </c>
      <c r="K131">
        <v>4</v>
      </c>
    </row>
    <row r="132" spans="1:11" x14ac:dyDescent="0.3">
      <c r="A132">
        <v>1131</v>
      </c>
      <c r="B132" s="2">
        <v>46069.893787575144</v>
      </c>
      <c r="C132" t="s">
        <v>48</v>
      </c>
      <c r="D132" t="s">
        <v>44</v>
      </c>
      <c r="E132" t="s">
        <v>33</v>
      </c>
      <c r="F132" t="s">
        <v>14</v>
      </c>
      <c r="G132">
        <v>3</v>
      </c>
      <c r="H132">
        <v>2500</v>
      </c>
      <c r="I132">
        <v>7500</v>
      </c>
      <c r="J132" t="s">
        <v>15</v>
      </c>
      <c r="K132">
        <v>5</v>
      </c>
    </row>
    <row r="133" spans="1:11" x14ac:dyDescent="0.3">
      <c r="A133">
        <v>1132</v>
      </c>
      <c r="B133" s="2">
        <v>46070.254509018043</v>
      </c>
      <c r="C133" t="s">
        <v>34</v>
      </c>
      <c r="D133" t="s">
        <v>12</v>
      </c>
      <c r="E133" t="s">
        <v>29</v>
      </c>
      <c r="F133" t="s">
        <v>19</v>
      </c>
      <c r="G133">
        <v>1</v>
      </c>
      <c r="H133">
        <v>12000</v>
      </c>
      <c r="I133">
        <v>12000</v>
      </c>
      <c r="J133" t="s">
        <v>31</v>
      </c>
      <c r="K133">
        <v>4</v>
      </c>
    </row>
    <row r="134" spans="1:11" x14ac:dyDescent="0.3">
      <c r="A134">
        <v>1133</v>
      </c>
      <c r="B134" s="2">
        <v>46070.615230460913</v>
      </c>
      <c r="C134" t="s">
        <v>37</v>
      </c>
      <c r="D134" t="s">
        <v>44</v>
      </c>
      <c r="E134" t="s">
        <v>33</v>
      </c>
      <c r="F134" t="s">
        <v>14</v>
      </c>
      <c r="G134">
        <v>3</v>
      </c>
      <c r="H134">
        <v>2500</v>
      </c>
      <c r="I134">
        <v>7500</v>
      </c>
      <c r="J134" t="s">
        <v>15</v>
      </c>
      <c r="K134">
        <v>5</v>
      </c>
    </row>
    <row r="135" spans="1:11" x14ac:dyDescent="0.3">
      <c r="A135">
        <v>1134</v>
      </c>
      <c r="B135" s="2">
        <v>46070.975951903798</v>
      </c>
      <c r="C135" t="s">
        <v>49</v>
      </c>
      <c r="D135" t="s">
        <v>17</v>
      </c>
      <c r="E135" t="s">
        <v>43</v>
      </c>
      <c r="F135" t="s">
        <v>14</v>
      </c>
      <c r="G135">
        <v>3</v>
      </c>
      <c r="H135">
        <v>800</v>
      </c>
      <c r="I135">
        <v>2400</v>
      </c>
      <c r="J135" t="s">
        <v>45</v>
      </c>
      <c r="K135">
        <v>5</v>
      </c>
    </row>
    <row r="136" spans="1:11" x14ac:dyDescent="0.3">
      <c r="A136">
        <v>1135</v>
      </c>
      <c r="B136" s="2">
        <v>46071.33667334669</v>
      </c>
      <c r="C136" t="s">
        <v>37</v>
      </c>
      <c r="D136" t="s">
        <v>26</v>
      </c>
      <c r="E136" t="s">
        <v>13</v>
      </c>
      <c r="F136" t="s">
        <v>14</v>
      </c>
      <c r="G136">
        <v>2</v>
      </c>
      <c r="H136">
        <v>1500</v>
      </c>
      <c r="I136">
        <v>3000</v>
      </c>
      <c r="J136" t="s">
        <v>15</v>
      </c>
      <c r="K136">
        <v>5</v>
      </c>
    </row>
    <row r="137" spans="1:11" x14ac:dyDescent="0.3">
      <c r="A137">
        <v>1136</v>
      </c>
      <c r="B137" s="2">
        <v>46071.697394789568</v>
      </c>
      <c r="C137" t="s">
        <v>41</v>
      </c>
      <c r="D137" t="s">
        <v>26</v>
      </c>
      <c r="E137" t="s">
        <v>18</v>
      </c>
      <c r="F137" t="s">
        <v>19</v>
      </c>
      <c r="G137">
        <v>2</v>
      </c>
      <c r="H137">
        <v>22000</v>
      </c>
      <c r="I137">
        <v>44000</v>
      </c>
      <c r="J137" t="s">
        <v>31</v>
      </c>
      <c r="K137">
        <v>5</v>
      </c>
    </row>
    <row r="138" spans="1:11" x14ac:dyDescent="0.3">
      <c r="A138">
        <v>1137</v>
      </c>
      <c r="B138" s="2">
        <v>46072.058116232452</v>
      </c>
      <c r="C138" t="s">
        <v>35</v>
      </c>
      <c r="D138" t="s">
        <v>12</v>
      </c>
      <c r="E138" t="s">
        <v>23</v>
      </c>
      <c r="F138" t="s">
        <v>24</v>
      </c>
      <c r="G138">
        <v>4</v>
      </c>
      <c r="H138">
        <v>14000</v>
      </c>
      <c r="I138">
        <v>56000</v>
      </c>
      <c r="J138" t="s">
        <v>15</v>
      </c>
      <c r="K138">
        <v>3</v>
      </c>
    </row>
    <row r="139" spans="1:11" x14ac:dyDescent="0.3">
      <c r="A139">
        <v>1138</v>
      </c>
      <c r="B139" s="2">
        <v>46072.418837675337</v>
      </c>
      <c r="C139" t="s">
        <v>32</v>
      </c>
      <c r="D139" t="s">
        <v>44</v>
      </c>
      <c r="E139" t="s">
        <v>43</v>
      </c>
      <c r="F139" t="s">
        <v>14</v>
      </c>
      <c r="G139">
        <v>1</v>
      </c>
      <c r="H139">
        <v>800</v>
      </c>
      <c r="I139">
        <v>800</v>
      </c>
      <c r="J139" t="s">
        <v>31</v>
      </c>
      <c r="K139">
        <v>5</v>
      </c>
    </row>
    <row r="140" spans="1:11" x14ac:dyDescent="0.3">
      <c r="A140">
        <v>1139</v>
      </c>
      <c r="B140" s="2">
        <v>46072.779559118229</v>
      </c>
      <c r="C140" t="s">
        <v>16</v>
      </c>
      <c r="D140" t="s">
        <v>38</v>
      </c>
      <c r="E140" t="s">
        <v>18</v>
      </c>
      <c r="F140" t="s">
        <v>19</v>
      </c>
      <c r="G140">
        <v>1</v>
      </c>
      <c r="H140">
        <v>22000</v>
      </c>
      <c r="I140">
        <v>22000</v>
      </c>
      <c r="J140" t="s">
        <v>31</v>
      </c>
      <c r="K140">
        <v>4</v>
      </c>
    </row>
    <row r="141" spans="1:11" x14ac:dyDescent="0.3">
      <c r="A141">
        <v>1140</v>
      </c>
      <c r="B141" s="2">
        <v>46073.140280561107</v>
      </c>
      <c r="C141" t="s">
        <v>16</v>
      </c>
      <c r="D141" t="s">
        <v>44</v>
      </c>
      <c r="E141" t="s">
        <v>29</v>
      </c>
      <c r="F141" t="s">
        <v>19</v>
      </c>
      <c r="G141">
        <v>1</v>
      </c>
      <c r="H141">
        <v>12000</v>
      </c>
      <c r="I141">
        <v>12000</v>
      </c>
      <c r="J141" t="s">
        <v>15</v>
      </c>
      <c r="K141">
        <v>5</v>
      </c>
    </row>
    <row r="142" spans="1:11" x14ac:dyDescent="0.3">
      <c r="A142">
        <v>1141</v>
      </c>
      <c r="B142" s="2">
        <v>46073.501002004014</v>
      </c>
      <c r="C142" t="s">
        <v>35</v>
      </c>
      <c r="D142" t="s">
        <v>22</v>
      </c>
      <c r="E142" t="s">
        <v>39</v>
      </c>
      <c r="F142" t="s">
        <v>19</v>
      </c>
      <c r="G142">
        <v>1</v>
      </c>
      <c r="H142">
        <v>25000</v>
      </c>
      <c r="I142">
        <v>25000</v>
      </c>
      <c r="J142" t="s">
        <v>31</v>
      </c>
      <c r="K142">
        <v>4</v>
      </c>
    </row>
    <row r="143" spans="1:11" x14ac:dyDescent="0.3">
      <c r="A143">
        <v>1142</v>
      </c>
      <c r="B143" s="2">
        <v>46073.861723446877</v>
      </c>
      <c r="C143" t="s">
        <v>28</v>
      </c>
      <c r="D143" t="s">
        <v>26</v>
      </c>
      <c r="E143" t="s">
        <v>39</v>
      </c>
      <c r="F143" t="s">
        <v>19</v>
      </c>
      <c r="G143">
        <v>2</v>
      </c>
      <c r="H143">
        <v>25000</v>
      </c>
      <c r="I143">
        <v>50000</v>
      </c>
      <c r="J143" t="s">
        <v>31</v>
      </c>
      <c r="K143">
        <v>4</v>
      </c>
    </row>
    <row r="144" spans="1:11" x14ac:dyDescent="0.3">
      <c r="A144">
        <v>1143</v>
      </c>
      <c r="B144" s="2">
        <v>46074.222444889769</v>
      </c>
      <c r="C144" t="s">
        <v>40</v>
      </c>
      <c r="D144" t="s">
        <v>38</v>
      </c>
      <c r="E144" t="s">
        <v>27</v>
      </c>
      <c r="F144" t="s">
        <v>19</v>
      </c>
      <c r="G144">
        <v>4</v>
      </c>
      <c r="H144">
        <v>55000</v>
      </c>
      <c r="I144">
        <v>220000</v>
      </c>
      <c r="J144" t="s">
        <v>45</v>
      </c>
      <c r="K144">
        <v>4</v>
      </c>
    </row>
    <row r="145" spans="1:11" x14ac:dyDescent="0.3">
      <c r="A145">
        <v>1144</v>
      </c>
      <c r="B145" s="2">
        <v>46074.583166332661</v>
      </c>
      <c r="C145" t="s">
        <v>40</v>
      </c>
      <c r="D145" t="s">
        <v>22</v>
      </c>
      <c r="E145" t="s">
        <v>18</v>
      </c>
      <c r="F145" t="s">
        <v>19</v>
      </c>
      <c r="G145">
        <v>2</v>
      </c>
      <c r="H145">
        <v>21500</v>
      </c>
      <c r="I145">
        <v>43000</v>
      </c>
      <c r="J145" t="s">
        <v>31</v>
      </c>
      <c r="K145">
        <v>5</v>
      </c>
    </row>
    <row r="146" spans="1:11" x14ac:dyDescent="0.3">
      <c r="A146">
        <v>1145</v>
      </c>
      <c r="B146" s="2">
        <v>46074.943887775553</v>
      </c>
      <c r="C146" t="s">
        <v>51</v>
      </c>
      <c r="D146" t="s">
        <v>38</v>
      </c>
      <c r="E146" t="s">
        <v>27</v>
      </c>
      <c r="F146" t="s">
        <v>19</v>
      </c>
      <c r="G146">
        <v>1</v>
      </c>
      <c r="H146">
        <v>55000</v>
      </c>
      <c r="I146">
        <v>55000</v>
      </c>
      <c r="J146" t="s">
        <v>31</v>
      </c>
      <c r="K146">
        <v>5</v>
      </c>
    </row>
    <row r="147" spans="1:11" x14ac:dyDescent="0.3">
      <c r="A147">
        <v>1146</v>
      </c>
      <c r="B147" s="2">
        <v>46075.304609218423</v>
      </c>
      <c r="C147" t="s">
        <v>35</v>
      </c>
      <c r="D147" t="s">
        <v>12</v>
      </c>
      <c r="E147" t="s">
        <v>39</v>
      </c>
      <c r="F147" t="s">
        <v>19</v>
      </c>
      <c r="G147">
        <v>1</v>
      </c>
      <c r="H147">
        <v>25500</v>
      </c>
      <c r="I147">
        <v>25500</v>
      </c>
      <c r="J147" t="s">
        <v>15</v>
      </c>
      <c r="K147">
        <v>5</v>
      </c>
    </row>
    <row r="148" spans="1:11" x14ac:dyDescent="0.3">
      <c r="A148">
        <v>1147</v>
      </c>
      <c r="B148" s="2">
        <v>46075.665330661323</v>
      </c>
      <c r="C148" t="s">
        <v>46</v>
      </c>
      <c r="D148" t="s">
        <v>38</v>
      </c>
      <c r="E148" t="s">
        <v>27</v>
      </c>
      <c r="F148" t="s">
        <v>19</v>
      </c>
      <c r="G148">
        <v>2</v>
      </c>
      <c r="H148">
        <v>55000</v>
      </c>
      <c r="I148">
        <v>110000</v>
      </c>
      <c r="J148" t="s">
        <v>15</v>
      </c>
      <c r="K148">
        <v>5</v>
      </c>
    </row>
    <row r="149" spans="1:11" x14ac:dyDescent="0.3">
      <c r="A149">
        <v>1148</v>
      </c>
      <c r="B149" s="2">
        <v>46076.0260521042</v>
      </c>
      <c r="C149" t="s">
        <v>25</v>
      </c>
      <c r="D149" t="s">
        <v>26</v>
      </c>
      <c r="E149" t="s">
        <v>43</v>
      </c>
      <c r="F149" t="s">
        <v>14</v>
      </c>
      <c r="G149">
        <v>2</v>
      </c>
      <c r="H149">
        <v>800</v>
      </c>
      <c r="I149">
        <v>1600</v>
      </c>
      <c r="J149" t="s">
        <v>15</v>
      </c>
      <c r="K149">
        <v>4</v>
      </c>
    </row>
    <row r="150" spans="1:11" x14ac:dyDescent="0.3">
      <c r="A150">
        <v>1149</v>
      </c>
      <c r="B150" s="2">
        <v>46076.386773547078</v>
      </c>
      <c r="C150" t="s">
        <v>30</v>
      </c>
      <c r="D150" t="s">
        <v>38</v>
      </c>
      <c r="E150" t="s">
        <v>43</v>
      </c>
      <c r="F150" t="s">
        <v>14</v>
      </c>
      <c r="G150">
        <v>2</v>
      </c>
      <c r="H150">
        <v>800</v>
      </c>
      <c r="I150">
        <v>1600</v>
      </c>
      <c r="J150" t="s">
        <v>45</v>
      </c>
      <c r="K150">
        <v>5</v>
      </c>
    </row>
    <row r="151" spans="1:11" x14ac:dyDescent="0.3">
      <c r="A151">
        <v>1150</v>
      </c>
      <c r="B151" s="2">
        <v>46076.747494989977</v>
      </c>
      <c r="C151" t="s">
        <v>28</v>
      </c>
      <c r="D151" t="s">
        <v>22</v>
      </c>
      <c r="E151" t="s">
        <v>27</v>
      </c>
      <c r="F151" t="s">
        <v>19</v>
      </c>
      <c r="G151">
        <v>2</v>
      </c>
      <c r="H151">
        <v>55000</v>
      </c>
      <c r="I151">
        <v>110000</v>
      </c>
      <c r="J151" t="s">
        <v>15</v>
      </c>
      <c r="K151">
        <v>4</v>
      </c>
    </row>
    <row r="152" spans="1:11" x14ac:dyDescent="0.3">
      <c r="A152">
        <v>1151</v>
      </c>
      <c r="B152" s="2">
        <v>46077.108216432862</v>
      </c>
      <c r="C152" t="s">
        <v>41</v>
      </c>
      <c r="D152" t="s">
        <v>38</v>
      </c>
      <c r="E152" t="s">
        <v>39</v>
      </c>
      <c r="F152" t="s">
        <v>19</v>
      </c>
      <c r="G152">
        <v>2</v>
      </c>
      <c r="H152">
        <v>25000</v>
      </c>
      <c r="I152">
        <v>50000</v>
      </c>
      <c r="J152" t="s">
        <v>15</v>
      </c>
      <c r="K152">
        <v>2</v>
      </c>
    </row>
    <row r="153" spans="1:11" x14ac:dyDescent="0.3">
      <c r="A153">
        <v>1152</v>
      </c>
      <c r="B153" s="2">
        <v>46077.468937875739</v>
      </c>
      <c r="C153" t="s">
        <v>40</v>
      </c>
      <c r="D153" t="s">
        <v>17</v>
      </c>
      <c r="E153" t="s">
        <v>23</v>
      </c>
      <c r="F153" t="s">
        <v>24</v>
      </c>
      <c r="G153">
        <v>1</v>
      </c>
      <c r="H153">
        <v>14000</v>
      </c>
      <c r="I153">
        <v>14000</v>
      </c>
      <c r="J153" t="s">
        <v>45</v>
      </c>
      <c r="K153">
        <v>5</v>
      </c>
    </row>
    <row r="154" spans="1:11" x14ac:dyDescent="0.3">
      <c r="A154">
        <v>1153</v>
      </c>
      <c r="B154" s="2">
        <v>46077.829659318631</v>
      </c>
      <c r="C154" t="s">
        <v>21</v>
      </c>
      <c r="D154" t="s">
        <v>26</v>
      </c>
      <c r="E154" t="s">
        <v>39</v>
      </c>
      <c r="F154" t="s">
        <v>19</v>
      </c>
      <c r="G154">
        <v>2</v>
      </c>
      <c r="H154">
        <v>25000</v>
      </c>
      <c r="I154">
        <v>50000</v>
      </c>
      <c r="J154" t="s">
        <v>20</v>
      </c>
      <c r="K154">
        <v>5</v>
      </c>
    </row>
    <row r="155" spans="1:11" x14ac:dyDescent="0.3">
      <c r="A155">
        <v>1154</v>
      </c>
      <c r="B155" s="2">
        <v>46078.190380761524</v>
      </c>
      <c r="C155" t="s">
        <v>50</v>
      </c>
      <c r="D155" t="s">
        <v>26</v>
      </c>
      <c r="E155" t="s">
        <v>29</v>
      </c>
      <c r="F155" t="s">
        <v>19</v>
      </c>
      <c r="G155">
        <v>2</v>
      </c>
      <c r="H155">
        <v>12000</v>
      </c>
      <c r="I155">
        <v>24000</v>
      </c>
      <c r="J155" t="s">
        <v>20</v>
      </c>
      <c r="K155">
        <v>5</v>
      </c>
    </row>
    <row r="156" spans="1:11" x14ac:dyDescent="0.3">
      <c r="A156">
        <v>1155</v>
      </c>
      <c r="B156" s="2">
        <v>46078.551102204401</v>
      </c>
      <c r="C156" t="s">
        <v>25</v>
      </c>
      <c r="D156" t="s">
        <v>12</v>
      </c>
      <c r="E156" t="s">
        <v>29</v>
      </c>
      <c r="F156" t="s">
        <v>19</v>
      </c>
      <c r="G156">
        <v>2</v>
      </c>
      <c r="H156">
        <v>11500</v>
      </c>
      <c r="I156">
        <v>23000</v>
      </c>
      <c r="J156" t="s">
        <v>31</v>
      </c>
      <c r="K156">
        <v>5</v>
      </c>
    </row>
    <row r="157" spans="1:11" x14ac:dyDescent="0.3">
      <c r="A157">
        <v>1156</v>
      </c>
      <c r="B157" s="2">
        <v>46078.911823647293</v>
      </c>
      <c r="C157" t="s">
        <v>25</v>
      </c>
      <c r="D157" t="s">
        <v>44</v>
      </c>
      <c r="E157" t="s">
        <v>29</v>
      </c>
      <c r="F157" t="s">
        <v>19</v>
      </c>
      <c r="G157">
        <v>1</v>
      </c>
      <c r="H157">
        <v>12000</v>
      </c>
      <c r="I157">
        <v>12000</v>
      </c>
      <c r="J157" t="s">
        <v>31</v>
      </c>
      <c r="K157">
        <v>4</v>
      </c>
    </row>
    <row r="158" spans="1:11" x14ac:dyDescent="0.3">
      <c r="A158">
        <v>1157</v>
      </c>
      <c r="B158" s="2">
        <v>46079.272545090171</v>
      </c>
      <c r="C158" t="s">
        <v>30</v>
      </c>
      <c r="D158" t="s">
        <v>38</v>
      </c>
      <c r="E158" t="s">
        <v>27</v>
      </c>
      <c r="F158" t="s">
        <v>19</v>
      </c>
      <c r="G158">
        <v>1</v>
      </c>
      <c r="H158">
        <v>55000</v>
      </c>
      <c r="I158">
        <v>55000</v>
      </c>
      <c r="J158" t="s">
        <v>15</v>
      </c>
      <c r="K158">
        <v>5</v>
      </c>
    </row>
    <row r="159" spans="1:11" x14ac:dyDescent="0.3">
      <c r="A159">
        <v>1158</v>
      </c>
      <c r="B159" s="2">
        <v>46079.633266533063</v>
      </c>
      <c r="C159" t="s">
        <v>36</v>
      </c>
      <c r="D159" t="s">
        <v>12</v>
      </c>
      <c r="E159" t="s">
        <v>27</v>
      </c>
      <c r="F159" t="s">
        <v>19</v>
      </c>
      <c r="G159">
        <v>2</v>
      </c>
      <c r="H159">
        <v>55000</v>
      </c>
      <c r="I159">
        <v>110000</v>
      </c>
      <c r="J159" t="s">
        <v>20</v>
      </c>
      <c r="K159">
        <v>4</v>
      </c>
    </row>
    <row r="160" spans="1:11" x14ac:dyDescent="0.3">
      <c r="A160">
        <v>1159</v>
      </c>
      <c r="B160" s="2">
        <v>46079.993987975948</v>
      </c>
      <c r="C160" t="s">
        <v>48</v>
      </c>
      <c r="D160" t="s">
        <v>17</v>
      </c>
      <c r="E160" t="s">
        <v>33</v>
      </c>
      <c r="F160" t="s">
        <v>14</v>
      </c>
      <c r="G160">
        <v>1</v>
      </c>
      <c r="H160">
        <v>2500</v>
      </c>
      <c r="I160">
        <v>2500</v>
      </c>
      <c r="J160" t="s">
        <v>45</v>
      </c>
      <c r="K160">
        <v>4</v>
      </c>
    </row>
    <row r="161" spans="1:11" x14ac:dyDescent="0.3">
      <c r="A161">
        <v>1160</v>
      </c>
      <c r="B161" s="2">
        <v>46080.354709418832</v>
      </c>
      <c r="C161" t="s">
        <v>16</v>
      </c>
      <c r="D161" t="s">
        <v>38</v>
      </c>
      <c r="E161" t="s">
        <v>29</v>
      </c>
      <c r="F161" t="s">
        <v>19</v>
      </c>
      <c r="G161">
        <v>3</v>
      </c>
      <c r="H161">
        <v>12000</v>
      </c>
      <c r="I161">
        <v>36000</v>
      </c>
      <c r="J161" t="s">
        <v>20</v>
      </c>
      <c r="K161">
        <v>2</v>
      </c>
    </row>
    <row r="162" spans="1:11" x14ac:dyDescent="0.3">
      <c r="A162">
        <v>1161</v>
      </c>
      <c r="B162" s="2">
        <v>46080.71543086171</v>
      </c>
      <c r="C162" t="s">
        <v>41</v>
      </c>
      <c r="D162" t="s">
        <v>38</v>
      </c>
      <c r="E162" t="s">
        <v>18</v>
      </c>
      <c r="F162" t="s">
        <v>19</v>
      </c>
      <c r="G162">
        <v>2</v>
      </c>
      <c r="H162">
        <v>22500</v>
      </c>
      <c r="I162">
        <v>45000</v>
      </c>
      <c r="J162" t="s">
        <v>20</v>
      </c>
      <c r="K162">
        <v>4</v>
      </c>
    </row>
    <row r="163" spans="1:11" x14ac:dyDescent="0.3">
      <c r="A163">
        <v>1162</v>
      </c>
      <c r="B163" s="2">
        <v>46081.076152304609</v>
      </c>
      <c r="C163" t="s">
        <v>50</v>
      </c>
      <c r="D163" t="s">
        <v>17</v>
      </c>
      <c r="E163" t="s">
        <v>39</v>
      </c>
      <c r="F163" t="s">
        <v>19</v>
      </c>
      <c r="G163">
        <v>1</v>
      </c>
      <c r="H163">
        <v>25000</v>
      </c>
      <c r="I163">
        <v>25000</v>
      </c>
      <c r="J163" t="s">
        <v>20</v>
      </c>
      <c r="K163">
        <v>5</v>
      </c>
    </row>
    <row r="164" spans="1:11" x14ac:dyDescent="0.3">
      <c r="A164">
        <v>1163</v>
      </c>
      <c r="B164" s="2">
        <v>46081.436873747487</v>
      </c>
      <c r="C164" t="s">
        <v>48</v>
      </c>
      <c r="D164" t="s">
        <v>38</v>
      </c>
      <c r="E164" t="s">
        <v>13</v>
      </c>
      <c r="F164" t="s">
        <v>14</v>
      </c>
      <c r="G164">
        <v>1</v>
      </c>
      <c r="H164">
        <v>1500</v>
      </c>
      <c r="I164">
        <v>1500</v>
      </c>
      <c r="J164" t="s">
        <v>31</v>
      </c>
      <c r="K164">
        <v>4</v>
      </c>
    </row>
    <row r="165" spans="1:11" x14ac:dyDescent="0.3">
      <c r="A165">
        <v>1164</v>
      </c>
      <c r="B165" s="2">
        <v>46081.797595190372</v>
      </c>
      <c r="C165" t="s">
        <v>50</v>
      </c>
      <c r="D165" t="s">
        <v>22</v>
      </c>
      <c r="E165" t="s">
        <v>18</v>
      </c>
      <c r="F165" t="s">
        <v>19</v>
      </c>
      <c r="G165">
        <v>2</v>
      </c>
      <c r="H165">
        <v>22000</v>
      </c>
      <c r="I165">
        <v>44000</v>
      </c>
      <c r="J165" t="s">
        <v>20</v>
      </c>
      <c r="K165">
        <v>3</v>
      </c>
    </row>
    <row r="166" spans="1:11" x14ac:dyDescent="0.3">
      <c r="A166">
        <v>1165</v>
      </c>
      <c r="B166" s="2">
        <v>46082.158316633257</v>
      </c>
      <c r="C166" t="s">
        <v>40</v>
      </c>
      <c r="D166" t="s">
        <v>44</v>
      </c>
      <c r="E166" t="s">
        <v>27</v>
      </c>
      <c r="F166" t="s">
        <v>19</v>
      </c>
      <c r="G166">
        <v>1</v>
      </c>
      <c r="H166">
        <v>55000</v>
      </c>
      <c r="I166">
        <v>55000</v>
      </c>
      <c r="J166" t="s">
        <v>15</v>
      </c>
      <c r="K166">
        <v>5</v>
      </c>
    </row>
    <row r="167" spans="1:11" x14ac:dyDescent="0.3">
      <c r="A167">
        <v>1166</v>
      </c>
      <c r="B167" s="2">
        <v>46082.519038076149</v>
      </c>
      <c r="C167" t="s">
        <v>36</v>
      </c>
      <c r="D167" t="s">
        <v>12</v>
      </c>
      <c r="E167" t="s">
        <v>23</v>
      </c>
      <c r="F167" t="s">
        <v>24</v>
      </c>
      <c r="G167">
        <v>3</v>
      </c>
      <c r="H167">
        <v>14000</v>
      </c>
      <c r="I167">
        <v>42000</v>
      </c>
      <c r="J167" t="s">
        <v>15</v>
      </c>
      <c r="K167">
        <v>5</v>
      </c>
    </row>
    <row r="168" spans="1:11" x14ac:dyDescent="0.3">
      <c r="A168">
        <v>1167</v>
      </c>
      <c r="B168" s="2">
        <v>46082.879759519034</v>
      </c>
      <c r="C168" t="s">
        <v>47</v>
      </c>
      <c r="D168" t="s">
        <v>44</v>
      </c>
      <c r="E168" t="s">
        <v>43</v>
      </c>
      <c r="F168" t="s">
        <v>14</v>
      </c>
      <c r="G168">
        <v>4</v>
      </c>
      <c r="H168">
        <v>800</v>
      </c>
      <c r="I168">
        <v>3200</v>
      </c>
      <c r="J168" t="s">
        <v>15</v>
      </c>
      <c r="K168">
        <v>3</v>
      </c>
    </row>
    <row r="169" spans="1:11" x14ac:dyDescent="0.3">
      <c r="A169">
        <v>1168</v>
      </c>
      <c r="B169" s="2">
        <v>46083.240480961918</v>
      </c>
      <c r="C169" t="s">
        <v>51</v>
      </c>
      <c r="D169" t="s">
        <v>44</v>
      </c>
      <c r="E169" t="s">
        <v>13</v>
      </c>
      <c r="F169" t="s">
        <v>14</v>
      </c>
      <c r="G169">
        <v>1</v>
      </c>
      <c r="H169">
        <v>2000</v>
      </c>
      <c r="I169">
        <v>2000</v>
      </c>
      <c r="J169" t="s">
        <v>15</v>
      </c>
      <c r="K169">
        <v>5</v>
      </c>
    </row>
    <row r="170" spans="1:11" x14ac:dyDescent="0.3">
      <c r="A170">
        <v>1169</v>
      </c>
      <c r="B170" s="2">
        <v>46083.601202404803</v>
      </c>
      <c r="C170" t="s">
        <v>42</v>
      </c>
      <c r="D170" t="s">
        <v>38</v>
      </c>
      <c r="E170" t="s">
        <v>18</v>
      </c>
      <c r="F170" t="s">
        <v>19</v>
      </c>
      <c r="G170">
        <v>4</v>
      </c>
      <c r="H170">
        <v>22500</v>
      </c>
      <c r="I170">
        <v>90000</v>
      </c>
      <c r="J170" t="s">
        <v>45</v>
      </c>
      <c r="K170">
        <v>5</v>
      </c>
    </row>
    <row r="171" spans="1:11" x14ac:dyDescent="0.3">
      <c r="A171">
        <v>1170</v>
      </c>
      <c r="B171" s="2">
        <v>46083.961923847688</v>
      </c>
      <c r="C171" t="s">
        <v>25</v>
      </c>
      <c r="D171" t="s">
        <v>22</v>
      </c>
      <c r="E171" t="s">
        <v>27</v>
      </c>
      <c r="F171" t="s">
        <v>19</v>
      </c>
      <c r="G171">
        <v>3</v>
      </c>
      <c r="H171">
        <v>55000</v>
      </c>
      <c r="I171">
        <v>165000</v>
      </c>
      <c r="J171" t="s">
        <v>31</v>
      </c>
      <c r="K171">
        <v>5</v>
      </c>
    </row>
    <row r="172" spans="1:11" x14ac:dyDescent="0.3">
      <c r="A172">
        <v>1171</v>
      </c>
      <c r="B172" s="2">
        <v>46084.32264529058</v>
      </c>
      <c r="C172" t="s">
        <v>28</v>
      </c>
      <c r="D172" t="s">
        <v>38</v>
      </c>
      <c r="E172" t="s">
        <v>27</v>
      </c>
      <c r="F172" t="s">
        <v>19</v>
      </c>
      <c r="G172">
        <v>3</v>
      </c>
      <c r="H172">
        <v>55000</v>
      </c>
      <c r="I172">
        <v>165000</v>
      </c>
      <c r="J172" t="s">
        <v>20</v>
      </c>
      <c r="K172">
        <v>5</v>
      </c>
    </row>
    <row r="173" spans="1:11" x14ac:dyDescent="0.3">
      <c r="A173">
        <v>1172</v>
      </c>
      <c r="B173" s="2">
        <v>46084.683366733458</v>
      </c>
      <c r="C173" t="s">
        <v>16</v>
      </c>
      <c r="D173" t="s">
        <v>17</v>
      </c>
      <c r="E173" t="s">
        <v>18</v>
      </c>
      <c r="F173" t="s">
        <v>19</v>
      </c>
      <c r="G173">
        <v>2</v>
      </c>
      <c r="H173">
        <v>22000</v>
      </c>
      <c r="I173">
        <v>44000</v>
      </c>
      <c r="J173" t="s">
        <v>15</v>
      </c>
      <c r="K173">
        <v>4</v>
      </c>
    </row>
    <row r="174" spans="1:11" x14ac:dyDescent="0.3">
      <c r="A174">
        <v>1173</v>
      </c>
      <c r="B174" s="2">
        <v>46085.044088176342</v>
      </c>
      <c r="C174" t="s">
        <v>50</v>
      </c>
      <c r="D174" t="s">
        <v>44</v>
      </c>
      <c r="E174" t="s">
        <v>39</v>
      </c>
      <c r="F174" t="s">
        <v>19</v>
      </c>
      <c r="G174">
        <v>2</v>
      </c>
      <c r="H174">
        <v>24500</v>
      </c>
      <c r="I174">
        <v>49000</v>
      </c>
      <c r="J174" t="s">
        <v>20</v>
      </c>
      <c r="K174">
        <v>5</v>
      </c>
    </row>
    <row r="175" spans="1:11" x14ac:dyDescent="0.3">
      <c r="A175">
        <v>1174</v>
      </c>
      <c r="B175" s="2">
        <v>46085.404809619227</v>
      </c>
      <c r="C175" t="s">
        <v>47</v>
      </c>
      <c r="D175" t="s">
        <v>12</v>
      </c>
      <c r="E175" t="s">
        <v>27</v>
      </c>
      <c r="F175" t="s">
        <v>19</v>
      </c>
      <c r="G175">
        <v>3</v>
      </c>
      <c r="H175">
        <v>55000</v>
      </c>
      <c r="I175">
        <v>165000</v>
      </c>
      <c r="J175" t="s">
        <v>31</v>
      </c>
      <c r="K175">
        <v>5</v>
      </c>
    </row>
    <row r="176" spans="1:11" x14ac:dyDescent="0.3">
      <c r="A176">
        <v>1175</v>
      </c>
      <c r="B176" s="2">
        <v>46085.765531062119</v>
      </c>
      <c r="C176" t="s">
        <v>47</v>
      </c>
      <c r="D176" t="s">
        <v>17</v>
      </c>
      <c r="E176" t="s">
        <v>29</v>
      </c>
      <c r="F176" t="s">
        <v>19</v>
      </c>
      <c r="G176">
        <v>3</v>
      </c>
      <c r="H176">
        <v>12000</v>
      </c>
      <c r="I176">
        <v>36000</v>
      </c>
      <c r="J176" t="s">
        <v>45</v>
      </c>
      <c r="K176">
        <v>5</v>
      </c>
    </row>
    <row r="177" spans="1:11" x14ac:dyDescent="0.3">
      <c r="A177">
        <v>1176</v>
      </c>
      <c r="B177" s="2">
        <v>46086.126252504997</v>
      </c>
      <c r="C177" t="s">
        <v>42</v>
      </c>
      <c r="D177" t="s">
        <v>17</v>
      </c>
      <c r="E177" t="s">
        <v>39</v>
      </c>
      <c r="F177" t="s">
        <v>19</v>
      </c>
      <c r="G177">
        <v>3</v>
      </c>
      <c r="H177">
        <v>25000</v>
      </c>
      <c r="I177">
        <v>75000</v>
      </c>
      <c r="J177" t="s">
        <v>31</v>
      </c>
      <c r="K177">
        <v>5</v>
      </c>
    </row>
    <row r="178" spans="1:11" x14ac:dyDescent="0.3">
      <c r="A178">
        <v>1177</v>
      </c>
      <c r="B178" s="2">
        <v>46086.486973947904</v>
      </c>
      <c r="C178" t="s">
        <v>47</v>
      </c>
      <c r="D178" t="s">
        <v>12</v>
      </c>
      <c r="E178" t="s">
        <v>27</v>
      </c>
      <c r="F178" t="s">
        <v>19</v>
      </c>
      <c r="G178">
        <v>3</v>
      </c>
      <c r="H178">
        <v>55000</v>
      </c>
      <c r="I178">
        <v>165000</v>
      </c>
      <c r="J178" t="s">
        <v>15</v>
      </c>
      <c r="K178">
        <v>4</v>
      </c>
    </row>
    <row r="179" spans="1:11" x14ac:dyDescent="0.3">
      <c r="A179">
        <v>1178</v>
      </c>
      <c r="B179" s="2">
        <v>46086.847695390767</v>
      </c>
      <c r="C179" t="s">
        <v>35</v>
      </c>
      <c r="D179" t="s">
        <v>44</v>
      </c>
      <c r="E179" t="s">
        <v>39</v>
      </c>
      <c r="F179" t="s">
        <v>19</v>
      </c>
      <c r="G179">
        <v>1</v>
      </c>
      <c r="H179">
        <v>25000</v>
      </c>
      <c r="I179">
        <v>25000</v>
      </c>
      <c r="J179" t="s">
        <v>31</v>
      </c>
      <c r="K179">
        <v>2</v>
      </c>
    </row>
    <row r="180" spans="1:11" x14ac:dyDescent="0.3">
      <c r="A180">
        <v>1179</v>
      </c>
      <c r="B180" s="2">
        <v>46087.208416833659</v>
      </c>
      <c r="C180" t="s">
        <v>48</v>
      </c>
      <c r="D180" t="s">
        <v>12</v>
      </c>
      <c r="E180" t="s">
        <v>43</v>
      </c>
      <c r="F180" t="s">
        <v>14</v>
      </c>
      <c r="G180">
        <v>2</v>
      </c>
      <c r="H180">
        <v>1300</v>
      </c>
      <c r="I180">
        <v>2600</v>
      </c>
      <c r="J180" t="s">
        <v>31</v>
      </c>
      <c r="K180">
        <v>4</v>
      </c>
    </row>
    <row r="181" spans="1:11" x14ac:dyDescent="0.3">
      <c r="A181">
        <v>1180</v>
      </c>
      <c r="B181" s="2">
        <v>46087.569138276551</v>
      </c>
      <c r="C181" t="s">
        <v>42</v>
      </c>
      <c r="D181" t="s">
        <v>22</v>
      </c>
      <c r="E181" t="s">
        <v>39</v>
      </c>
      <c r="F181" t="s">
        <v>19</v>
      </c>
      <c r="G181">
        <v>1</v>
      </c>
      <c r="H181">
        <v>25000</v>
      </c>
      <c r="I181">
        <v>25000</v>
      </c>
      <c r="J181" t="s">
        <v>20</v>
      </c>
      <c r="K181">
        <v>4</v>
      </c>
    </row>
    <row r="182" spans="1:11" x14ac:dyDescent="0.3">
      <c r="A182">
        <v>1181</v>
      </c>
      <c r="B182" s="2">
        <v>46087.929859719443</v>
      </c>
      <c r="C182" t="s">
        <v>32</v>
      </c>
      <c r="D182" t="s">
        <v>17</v>
      </c>
      <c r="E182" t="s">
        <v>29</v>
      </c>
      <c r="F182" t="s">
        <v>19</v>
      </c>
      <c r="G182">
        <v>4</v>
      </c>
      <c r="H182">
        <v>12000</v>
      </c>
      <c r="I182">
        <v>48000</v>
      </c>
      <c r="J182" t="s">
        <v>31</v>
      </c>
      <c r="K182">
        <v>3</v>
      </c>
    </row>
    <row r="183" spans="1:11" x14ac:dyDescent="0.3">
      <c r="A183">
        <v>1182</v>
      </c>
      <c r="B183" s="2">
        <v>46088.290581162313</v>
      </c>
      <c r="C183" t="s">
        <v>42</v>
      </c>
      <c r="D183" t="s">
        <v>26</v>
      </c>
      <c r="E183" t="s">
        <v>13</v>
      </c>
      <c r="F183" t="s">
        <v>14</v>
      </c>
      <c r="G183">
        <v>2</v>
      </c>
      <c r="H183">
        <v>1000</v>
      </c>
      <c r="I183">
        <v>2000</v>
      </c>
      <c r="J183" t="s">
        <v>15</v>
      </c>
      <c r="K183">
        <v>5</v>
      </c>
    </row>
    <row r="184" spans="1:11" x14ac:dyDescent="0.3">
      <c r="A184">
        <v>1183</v>
      </c>
      <c r="B184" s="2">
        <v>46088.651302605213</v>
      </c>
      <c r="C184" t="s">
        <v>21</v>
      </c>
      <c r="D184" t="s">
        <v>17</v>
      </c>
      <c r="E184" t="s">
        <v>27</v>
      </c>
      <c r="F184" t="s">
        <v>19</v>
      </c>
      <c r="G184">
        <v>3</v>
      </c>
      <c r="H184">
        <v>55500</v>
      </c>
      <c r="I184">
        <v>166500</v>
      </c>
      <c r="J184" t="s">
        <v>31</v>
      </c>
      <c r="K184">
        <v>5</v>
      </c>
    </row>
    <row r="185" spans="1:11" x14ac:dyDescent="0.3">
      <c r="A185">
        <v>1184</v>
      </c>
      <c r="B185" s="2">
        <v>46089.01202404809</v>
      </c>
      <c r="C185" t="s">
        <v>25</v>
      </c>
      <c r="D185" t="s">
        <v>38</v>
      </c>
      <c r="E185" t="s">
        <v>13</v>
      </c>
      <c r="F185" t="s">
        <v>14</v>
      </c>
      <c r="G185">
        <v>1</v>
      </c>
      <c r="H185">
        <v>1500</v>
      </c>
      <c r="I185">
        <v>1500</v>
      </c>
      <c r="J185" t="s">
        <v>15</v>
      </c>
      <c r="K185">
        <v>2</v>
      </c>
    </row>
    <row r="186" spans="1:11" x14ac:dyDescent="0.3">
      <c r="A186">
        <v>1185</v>
      </c>
      <c r="B186" s="2">
        <v>46089.372745490968</v>
      </c>
      <c r="C186" t="s">
        <v>41</v>
      </c>
      <c r="D186" t="s">
        <v>44</v>
      </c>
      <c r="E186" t="s">
        <v>27</v>
      </c>
      <c r="F186" t="s">
        <v>19</v>
      </c>
      <c r="G186">
        <v>1</v>
      </c>
      <c r="H186">
        <v>55500</v>
      </c>
      <c r="I186">
        <v>55500</v>
      </c>
      <c r="J186" t="s">
        <v>45</v>
      </c>
      <c r="K186">
        <v>4</v>
      </c>
    </row>
    <row r="187" spans="1:11" x14ac:dyDescent="0.3">
      <c r="A187">
        <v>1186</v>
      </c>
      <c r="B187" s="2">
        <v>46089.733466933867</v>
      </c>
      <c r="C187" t="s">
        <v>25</v>
      </c>
      <c r="D187" t="s">
        <v>26</v>
      </c>
      <c r="E187" t="s">
        <v>18</v>
      </c>
      <c r="F187" t="s">
        <v>19</v>
      </c>
      <c r="G187">
        <v>1</v>
      </c>
      <c r="H187">
        <v>22000</v>
      </c>
      <c r="I187">
        <v>22000</v>
      </c>
      <c r="J187" t="s">
        <v>15</v>
      </c>
      <c r="K187">
        <v>3</v>
      </c>
    </row>
    <row r="188" spans="1:11" x14ac:dyDescent="0.3">
      <c r="A188">
        <v>1187</v>
      </c>
      <c r="B188" s="2">
        <v>46090.094188376737</v>
      </c>
      <c r="C188" t="s">
        <v>25</v>
      </c>
      <c r="D188" t="s">
        <v>44</v>
      </c>
      <c r="E188" t="s">
        <v>18</v>
      </c>
      <c r="F188" t="s">
        <v>19</v>
      </c>
      <c r="G188">
        <v>4</v>
      </c>
      <c r="H188">
        <v>21500</v>
      </c>
      <c r="I188">
        <v>86000</v>
      </c>
      <c r="J188" t="s">
        <v>31</v>
      </c>
      <c r="K188">
        <v>4</v>
      </c>
    </row>
    <row r="189" spans="1:11" x14ac:dyDescent="0.3">
      <c r="A189">
        <v>1188</v>
      </c>
      <c r="B189" s="2">
        <v>46090.454909819629</v>
      </c>
      <c r="C189" t="s">
        <v>51</v>
      </c>
      <c r="D189" t="s">
        <v>12</v>
      </c>
      <c r="E189" t="s">
        <v>43</v>
      </c>
      <c r="F189" t="s">
        <v>14</v>
      </c>
      <c r="G189">
        <v>5</v>
      </c>
      <c r="H189">
        <v>800</v>
      </c>
      <c r="I189">
        <v>4000</v>
      </c>
      <c r="J189" t="s">
        <v>15</v>
      </c>
      <c r="K189">
        <v>3</v>
      </c>
    </row>
    <row r="190" spans="1:11" x14ac:dyDescent="0.3">
      <c r="A190">
        <v>1189</v>
      </c>
      <c r="B190" s="2">
        <v>46090.815631262521</v>
      </c>
      <c r="C190" t="s">
        <v>50</v>
      </c>
      <c r="D190" t="s">
        <v>38</v>
      </c>
      <c r="E190" t="s">
        <v>29</v>
      </c>
      <c r="F190" t="s">
        <v>19</v>
      </c>
      <c r="G190">
        <v>1</v>
      </c>
      <c r="H190">
        <v>12000</v>
      </c>
      <c r="I190">
        <v>12000</v>
      </c>
      <c r="J190" t="s">
        <v>20</v>
      </c>
      <c r="K190">
        <v>4</v>
      </c>
    </row>
    <row r="191" spans="1:11" x14ac:dyDescent="0.3">
      <c r="A191">
        <v>1190</v>
      </c>
      <c r="B191" s="2">
        <v>46091.176352705414</v>
      </c>
      <c r="C191" t="s">
        <v>35</v>
      </c>
      <c r="D191" t="s">
        <v>12</v>
      </c>
      <c r="E191" t="s">
        <v>18</v>
      </c>
      <c r="F191" t="s">
        <v>19</v>
      </c>
      <c r="G191">
        <v>3</v>
      </c>
      <c r="H191">
        <v>22000</v>
      </c>
      <c r="I191">
        <v>66000</v>
      </c>
      <c r="J191" t="s">
        <v>45</v>
      </c>
      <c r="K191">
        <v>5</v>
      </c>
    </row>
    <row r="192" spans="1:11" x14ac:dyDescent="0.3">
      <c r="A192">
        <v>1191</v>
      </c>
      <c r="B192" s="2">
        <v>46091.537074148277</v>
      </c>
      <c r="C192" t="s">
        <v>41</v>
      </c>
      <c r="D192" t="s">
        <v>17</v>
      </c>
      <c r="E192" t="s">
        <v>27</v>
      </c>
      <c r="F192" t="s">
        <v>19</v>
      </c>
      <c r="G192">
        <v>1</v>
      </c>
      <c r="H192">
        <v>55500</v>
      </c>
      <c r="I192">
        <v>55500</v>
      </c>
      <c r="J192" t="s">
        <v>45</v>
      </c>
      <c r="K192">
        <v>4</v>
      </c>
    </row>
    <row r="193" spans="1:11" x14ac:dyDescent="0.3">
      <c r="A193">
        <v>1192</v>
      </c>
      <c r="B193" s="2">
        <v>46091.897795591183</v>
      </c>
      <c r="C193" t="s">
        <v>32</v>
      </c>
      <c r="D193" t="s">
        <v>22</v>
      </c>
      <c r="E193" t="s">
        <v>27</v>
      </c>
      <c r="F193" t="s">
        <v>19</v>
      </c>
      <c r="G193">
        <v>1</v>
      </c>
      <c r="H193">
        <v>55000</v>
      </c>
      <c r="I193">
        <v>55000</v>
      </c>
      <c r="J193" t="s">
        <v>15</v>
      </c>
      <c r="K193">
        <v>4</v>
      </c>
    </row>
    <row r="194" spans="1:11" x14ac:dyDescent="0.3">
      <c r="A194">
        <v>1193</v>
      </c>
      <c r="B194" s="2">
        <v>46092.258517034061</v>
      </c>
      <c r="C194" t="s">
        <v>37</v>
      </c>
      <c r="D194" t="s">
        <v>38</v>
      </c>
      <c r="E194" t="s">
        <v>27</v>
      </c>
      <c r="F194" t="s">
        <v>19</v>
      </c>
      <c r="G194">
        <v>2</v>
      </c>
      <c r="H194">
        <v>55000</v>
      </c>
      <c r="I194">
        <v>110000</v>
      </c>
      <c r="J194" t="s">
        <v>20</v>
      </c>
      <c r="K194">
        <v>3</v>
      </c>
    </row>
    <row r="195" spans="1:11" x14ac:dyDescent="0.3">
      <c r="A195">
        <v>1194</v>
      </c>
      <c r="B195" s="2">
        <v>46092.619238476953</v>
      </c>
      <c r="C195" t="s">
        <v>25</v>
      </c>
      <c r="D195" t="s">
        <v>26</v>
      </c>
      <c r="E195" t="s">
        <v>33</v>
      </c>
      <c r="F195" t="s">
        <v>14</v>
      </c>
      <c r="G195">
        <v>2</v>
      </c>
      <c r="H195">
        <v>2500</v>
      </c>
      <c r="I195">
        <v>5000</v>
      </c>
      <c r="J195" t="s">
        <v>15</v>
      </c>
      <c r="K195">
        <v>5</v>
      </c>
    </row>
    <row r="196" spans="1:11" x14ac:dyDescent="0.3">
      <c r="A196">
        <v>1195</v>
      </c>
      <c r="B196" s="2">
        <v>46092.979959919838</v>
      </c>
      <c r="C196" t="s">
        <v>47</v>
      </c>
      <c r="D196" t="s">
        <v>22</v>
      </c>
      <c r="E196" t="s">
        <v>18</v>
      </c>
      <c r="F196" t="s">
        <v>19</v>
      </c>
      <c r="G196">
        <v>3</v>
      </c>
      <c r="H196">
        <v>21500</v>
      </c>
      <c r="I196">
        <v>64500</v>
      </c>
      <c r="J196" t="s">
        <v>15</v>
      </c>
      <c r="K196">
        <v>5</v>
      </c>
    </row>
    <row r="197" spans="1:11" x14ac:dyDescent="0.3">
      <c r="A197">
        <v>1196</v>
      </c>
      <c r="B197" s="2">
        <v>46093.340681362723</v>
      </c>
      <c r="C197" t="s">
        <v>30</v>
      </c>
      <c r="D197" t="s">
        <v>22</v>
      </c>
      <c r="E197" t="s">
        <v>27</v>
      </c>
      <c r="F197" t="s">
        <v>19</v>
      </c>
      <c r="G197">
        <v>2</v>
      </c>
      <c r="H197">
        <v>55000</v>
      </c>
      <c r="I197">
        <v>110000</v>
      </c>
      <c r="J197" t="s">
        <v>31</v>
      </c>
      <c r="K197">
        <v>2</v>
      </c>
    </row>
    <row r="198" spans="1:11" x14ac:dyDescent="0.3">
      <c r="A198">
        <v>1197</v>
      </c>
      <c r="B198" s="2">
        <v>46093.7014028056</v>
      </c>
      <c r="C198" t="s">
        <v>36</v>
      </c>
      <c r="D198" t="s">
        <v>26</v>
      </c>
      <c r="E198" t="s">
        <v>13</v>
      </c>
      <c r="F198" t="s">
        <v>14</v>
      </c>
      <c r="G198">
        <v>2</v>
      </c>
      <c r="H198">
        <v>1000</v>
      </c>
      <c r="I198">
        <v>2000</v>
      </c>
      <c r="J198" t="s">
        <v>15</v>
      </c>
      <c r="K198">
        <v>3</v>
      </c>
    </row>
    <row r="199" spans="1:11" x14ac:dyDescent="0.3">
      <c r="A199">
        <v>1198</v>
      </c>
      <c r="B199" s="2">
        <v>46094.062124248492</v>
      </c>
      <c r="C199" t="s">
        <v>35</v>
      </c>
      <c r="D199" t="s">
        <v>12</v>
      </c>
      <c r="E199" t="s">
        <v>13</v>
      </c>
      <c r="F199" t="s">
        <v>14</v>
      </c>
      <c r="G199">
        <v>1</v>
      </c>
      <c r="H199">
        <v>1500</v>
      </c>
      <c r="I199">
        <v>1500</v>
      </c>
      <c r="J199" t="s">
        <v>45</v>
      </c>
      <c r="K199">
        <v>4</v>
      </c>
    </row>
    <row r="200" spans="1:11" x14ac:dyDescent="0.3">
      <c r="A200">
        <v>1199</v>
      </c>
      <c r="B200" s="2">
        <v>46094.422845691377</v>
      </c>
      <c r="C200" t="s">
        <v>41</v>
      </c>
      <c r="D200" t="s">
        <v>38</v>
      </c>
      <c r="E200" t="s">
        <v>43</v>
      </c>
      <c r="F200" t="s">
        <v>14</v>
      </c>
      <c r="G200">
        <v>1</v>
      </c>
      <c r="H200">
        <v>800</v>
      </c>
      <c r="I200">
        <v>800</v>
      </c>
      <c r="J200" t="s">
        <v>15</v>
      </c>
      <c r="K200">
        <v>5</v>
      </c>
    </row>
    <row r="201" spans="1:11" x14ac:dyDescent="0.3">
      <c r="A201">
        <v>1200</v>
      </c>
      <c r="B201" s="2">
        <v>46094.783567134262</v>
      </c>
      <c r="C201" t="s">
        <v>37</v>
      </c>
      <c r="D201" t="s">
        <v>12</v>
      </c>
      <c r="E201" t="s">
        <v>27</v>
      </c>
      <c r="F201" t="s">
        <v>19</v>
      </c>
      <c r="G201">
        <v>2</v>
      </c>
      <c r="H201">
        <v>55000</v>
      </c>
      <c r="I201">
        <v>110000</v>
      </c>
      <c r="J201" t="s">
        <v>31</v>
      </c>
      <c r="K201">
        <v>5</v>
      </c>
    </row>
    <row r="202" spans="1:11" x14ac:dyDescent="0.3">
      <c r="A202">
        <v>1201</v>
      </c>
      <c r="B202" s="2">
        <v>46095.144288577147</v>
      </c>
      <c r="C202" t="s">
        <v>50</v>
      </c>
      <c r="D202" t="s">
        <v>17</v>
      </c>
      <c r="E202" t="s">
        <v>29</v>
      </c>
      <c r="F202" t="s">
        <v>19</v>
      </c>
      <c r="G202">
        <v>2</v>
      </c>
      <c r="H202">
        <v>12000</v>
      </c>
      <c r="I202">
        <v>24000</v>
      </c>
      <c r="J202" t="s">
        <v>31</v>
      </c>
      <c r="K202">
        <v>5</v>
      </c>
    </row>
    <row r="203" spans="1:11" x14ac:dyDescent="0.3">
      <c r="A203">
        <v>1202</v>
      </c>
      <c r="B203" s="2">
        <v>46095.505010020031</v>
      </c>
      <c r="C203" t="s">
        <v>35</v>
      </c>
      <c r="D203" t="s">
        <v>38</v>
      </c>
      <c r="E203" t="s">
        <v>33</v>
      </c>
      <c r="F203" t="s">
        <v>14</v>
      </c>
      <c r="G203">
        <v>1</v>
      </c>
      <c r="H203">
        <v>2500</v>
      </c>
      <c r="I203">
        <v>2500</v>
      </c>
      <c r="J203" t="s">
        <v>31</v>
      </c>
      <c r="K203">
        <v>5</v>
      </c>
    </row>
    <row r="204" spans="1:11" x14ac:dyDescent="0.3">
      <c r="A204">
        <v>1203</v>
      </c>
      <c r="B204" s="2">
        <v>46095.865731462924</v>
      </c>
      <c r="C204" t="s">
        <v>47</v>
      </c>
      <c r="D204" t="s">
        <v>26</v>
      </c>
      <c r="E204" t="s">
        <v>29</v>
      </c>
      <c r="F204" t="s">
        <v>19</v>
      </c>
      <c r="G204">
        <v>1</v>
      </c>
      <c r="H204">
        <v>12000</v>
      </c>
      <c r="I204">
        <v>12000</v>
      </c>
      <c r="J204" t="s">
        <v>15</v>
      </c>
      <c r="K204">
        <v>4</v>
      </c>
    </row>
    <row r="205" spans="1:11" x14ac:dyDescent="0.3">
      <c r="A205">
        <v>1204</v>
      </c>
      <c r="B205" s="2">
        <v>46096.226452905808</v>
      </c>
      <c r="C205" t="s">
        <v>34</v>
      </c>
      <c r="D205" t="s">
        <v>26</v>
      </c>
      <c r="E205" t="s">
        <v>39</v>
      </c>
      <c r="F205" t="s">
        <v>19</v>
      </c>
      <c r="G205">
        <v>2</v>
      </c>
      <c r="H205">
        <v>25000</v>
      </c>
      <c r="I205">
        <v>50000</v>
      </c>
      <c r="J205" t="s">
        <v>31</v>
      </c>
      <c r="K205">
        <v>4</v>
      </c>
    </row>
    <row r="206" spans="1:11" x14ac:dyDescent="0.3">
      <c r="A206">
        <v>1205</v>
      </c>
      <c r="B206" s="2">
        <v>46096.587174348693</v>
      </c>
      <c r="C206" t="s">
        <v>42</v>
      </c>
      <c r="D206" t="s">
        <v>38</v>
      </c>
      <c r="E206" t="s">
        <v>23</v>
      </c>
      <c r="F206" t="s">
        <v>24</v>
      </c>
      <c r="G206">
        <v>5</v>
      </c>
      <c r="H206">
        <v>14000</v>
      </c>
      <c r="I206">
        <v>70000</v>
      </c>
      <c r="J206" t="s">
        <v>31</v>
      </c>
      <c r="K206">
        <v>3</v>
      </c>
    </row>
    <row r="207" spans="1:11" x14ac:dyDescent="0.3">
      <c r="A207">
        <v>1206</v>
      </c>
      <c r="B207" s="2">
        <v>46096.947895791571</v>
      </c>
      <c r="C207" t="s">
        <v>30</v>
      </c>
      <c r="D207" t="s">
        <v>44</v>
      </c>
      <c r="E207" t="s">
        <v>27</v>
      </c>
      <c r="F207" t="s">
        <v>19</v>
      </c>
      <c r="G207">
        <v>1</v>
      </c>
      <c r="H207">
        <v>55000</v>
      </c>
      <c r="I207">
        <v>55000</v>
      </c>
      <c r="J207" t="s">
        <v>15</v>
      </c>
      <c r="K207">
        <v>4</v>
      </c>
    </row>
    <row r="208" spans="1:11" x14ac:dyDescent="0.3">
      <c r="A208">
        <v>1207</v>
      </c>
      <c r="B208" s="2">
        <v>46097.30861723447</v>
      </c>
      <c r="C208" t="s">
        <v>28</v>
      </c>
      <c r="D208" t="s">
        <v>17</v>
      </c>
      <c r="E208" t="s">
        <v>23</v>
      </c>
      <c r="F208" t="s">
        <v>24</v>
      </c>
      <c r="G208">
        <v>1</v>
      </c>
      <c r="H208">
        <v>14000</v>
      </c>
      <c r="I208">
        <v>14000</v>
      </c>
      <c r="J208" t="s">
        <v>15</v>
      </c>
      <c r="K208">
        <v>4</v>
      </c>
    </row>
    <row r="209" spans="1:11" x14ac:dyDescent="0.3">
      <c r="A209">
        <v>1208</v>
      </c>
      <c r="B209" s="2">
        <v>46097.669338677348</v>
      </c>
      <c r="C209" t="s">
        <v>11</v>
      </c>
      <c r="D209" t="s">
        <v>12</v>
      </c>
      <c r="E209" t="s">
        <v>29</v>
      </c>
      <c r="F209" t="s">
        <v>19</v>
      </c>
      <c r="G209">
        <v>2</v>
      </c>
      <c r="H209">
        <v>12000</v>
      </c>
      <c r="I209">
        <v>24000</v>
      </c>
      <c r="J209" t="s">
        <v>20</v>
      </c>
      <c r="K209">
        <v>4</v>
      </c>
    </row>
    <row r="210" spans="1:11" x14ac:dyDescent="0.3">
      <c r="A210">
        <v>1209</v>
      </c>
      <c r="B210" s="2">
        <v>46098.030060120233</v>
      </c>
      <c r="C210" t="s">
        <v>25</v>
      </c>
      <c r="D210" t="s">
        <v>22</v>
      </c>
      <c r="E210" t="s">
        <v>13</v>
      </c>
      <c r="F210" t="s">
        <v>14</v>
      </c>
      <c r="G210">
        <v>1</v>
      </c>
      <c r="H210">
        <v>1500</v>
      </c>
      <c r="I210">
        <v>1500</v>
      </c>
      <c r="J210" t="s">
        <v>15</v>
      </c>
      <c r="K210">
        <v>5</v>
      </c>
    </row>
    <row r="211" spans="1:11" x14ac:dyDescent="0.3">
      <c r="A211">
        <v>1210</v>
      </c>
      <c r="B211" s="2">
        <v>46098.390781563117</v>
      </c>
      <c r="C211" t="s">
        <v>35</v>
      </c>
      <c r="D211" t="s">
        <v>12</v>
      </c>
      <c r="E211" t="s">
        <v>23</v>
      </c>
      <c r="F211" t="s">
        <v>24</v>
      </c>
      <c r="G211">
        <v>1</v>
      </c>
      <c r="H211">
        <v>14000</v>
      </c>
      <c r="I211">
        <v>14000</v>
      </c>
      <c r="J211" t="s">
        <v>15</v>
      </c>
      <c r="K211">
        <v>5</v>
      </c>
    </row>
    <row r="212" spans="1:11" x14ac:dyDescent="0.3">
      <c r="A212">
        <v>1211</v>
      </c>
      <c r="B212" s="2">
        <v>46098.751503006009</v>
      </c>
      <c r="C212" t="s">
        <v>25</v>
      </c>
      <c r="D212" t="s">
        <v>26</v>
      </c>
      <c r="E212" t="s">
        <v>33</v>
      </c>
      <c r="F212" t="s">
        <v>14</v>
      </c>
      <c r="G212">
        <v>1</v>
      </c>
      <c r="H212">
        <v>2500</v>
      </c>
      <c r="I212">
        <v>2500</v>
      </c>
      <c r="J212" t="s">
        <v>31</v>
      </c>
      <c r="K212">
        <v>4</v>
      </c>
    </row>
    <row r="213" spans="1:11" x14ac:dyDescent="0.3">
      <c r="A213">
        <v>1212</v>
      </c>
      <c r="B213" s="2">
        <v>46099.112224448887</v>
      </c>
      <c r="C213" t="s">
        <v>16</v>
      </c>
      <c r="D213" t="s">
        <v>38</v>
      </c>
      <c r="E213" t="s">
        <v>29</v>
      </c>
      <c r="F213" t="s">
        <v>19</v>
      </c>
      <c r="G213">
        <v>1</v>
      </c>
      <c r="H213">
        <v>12000</v>
      </c>
      <c r="I213">
        <v>12000</v>
      </c>
      <c r="J213" t="s">
        <v>31</v>
      </c>
      <c r="K213">
        <v>4</v>
      </c>
    </row>
    <row r="214" spans="1:11" x14ac:dyDescent="0.3">
      <c r="A214">
        <v>1213</v>
      </c>
      <c r="B214" s="2">
        <v>46099.472945891779</v>
      </c>
      <c r="C214" t="s">
        <v>25</v>
      </c>
      <c r="D214" t="s">
        <v>38</v>
      </c>
      <c r="E214" t="s">
        <v>39</v>
      </c>
      <c r="F214" t="s">
        <v>19</v>
      </c>
      <c r="G214">
        <v>1</v>
      </c>
      <c r="H214">
        <v>25500</v>
      </c>
      <c r="I214">
        <v>25500</v>
      </c>
      <c r="J214" t="s">
        <v>20</v>
      </c>
      <c r="K214">
        <v>4</v>
      </c>
    </row>
    <row r="215" spans="1:11" x14ac:dyDescent="0.3">
      <c r="A215">
        <v>1214</v>
      </c>
      <c r="B215" s="2">
        <v>46099.833667334657</v>
      </c>
      <c r="C215" t="s">
        <v>28</v>
      </c>
      <c r="D215" t="s">
        <v>22</v>
      </c>
      <c r="E215" t="s">
        <v>13</v>
      </c>
      <c r="F215" t="s">
        <v>14</v>
      </c>
      <c r="G215">
        <v>1</v>
      </c>
      <c r="H215">
        <v>1500</v>
      </c>
      <c r="I215">
        <v>1500</v>
      </c>
      <c r="J215" t="s">
        <v>31</v>
      </c>
      <c r="K215">
        <v>5</v>
      </c>
    </row>
    <row r="216" spans="1:11" x14ac:dyDescent="0.3">
      <c r="A216">
        <v>1215</v>
      </c>
      <c r="B216" s="2">
        <v>46100.194388777549</v>
      </c>
      <c r="C216" t="s">
        <v>46</v>
      </c>
      <c r="D216" t="s">
        <v>44</v>
      </c>
      <c r="E216" t="s">
        <v>23</v>
      </c>
      <c r="F216" t="s">
        <v>24</v>
      </c>
      <c r="G216">
        <v>1</v>
      </c>
      <c r="H216">
        <v>14000</v>
      </c>
      <c r="I216">
        <v>14000</v>
      </c>
      <c r="J216" t="s">
        <v>15</v>
      </c>
      <c r="K216">
        <v>4</v>
      </c>
    </row>
    <row r="217" spans="1:11" x14ac:dyDescent="0.3">
      <c r="A217">
        <v>1216</v>
      </c>
      <c r="B217" s="2">
        <v>46100.555110220441</v>
      </c>
      <c r="C217" t="s">
        <v>25</v>
      </c>
      <c r="D217" t="s">
        <v>26</v>
      </c>
      <c r="E217" t="s">
        <v>39</v>
      </c>
      <c r="F217" t="s">
        <v>19</v>
      </c>
      <c r="G217">
        <v>2</v>
      </c>
      <c r="H217">
        <v>25000</v>
      </c>
      <c r="I217">
        <v>50000</v>
      </c>
      <c r="J217" t="s">
        <v>15</v>
      </c>
      <c r="K217">
        <v>3</v>
      </c>
    </row>
    <row r="218" spans="1:11" x14ac:dyDescent="0.3">
      <c r="A218">
        <v>1217</v>
      </c>
      <c r="B218" s="2">
        <v>46100.915831663318</v>
      </c>
      <c r="C218" t="s">
        <v>30</v>
      </c>
      <c r="D218" t="s">
        <v>12</v>
      </c>
      <c r="E218" t="s">
        <v>43</v>
      </c>
      <c r="F218" t="s">
        <v>14</v>
      </c>
      <c r="G218">
        <v>1</v>
      </c>
      <c r="H218">
        <v>800</v>
      </c>
      <c r="I218">
        <v>800</v>
      </c>
      <c r="J218" t="s">
        <v>15</v>
      </c>
      <c r="K218">
        <v>3</v>
      </c>
    </row>
    <row r="219" spans="1:11" x14ac:dyDescent="0.3">
      <c r="A219">
        <v>1218</v>
      </c>
      <c r="B219" s="2">
        <v>46101.276553106203</v>
      </c>
      <c r="C219" t="s">
        <v>48</v>
      </c>
      <c r="D219" t="s">
        <v>38</v>
      </c>
      <c r="E219" t="s">
        <v>33</v>
      </c>
      <c r="F219" t="s">
        <v>14</v>
      </c>
      <c r="G219">
        <v>4</v>
      </c>
      <c r="H219">
        <v>2500</v>
      </c>
      <c r="I219">
        <v>10000</v>
      </c>
      <c r="J219" t="s">
        <v>15</v>
      </c>
      <c r="K219">
        <v>3</v>
      </c>
    </row>
    <row r="220" spans="1:11" x14ac:dyDescent="0.3">
      <c r="A220">
        <v>1219</v>
      </c>
      <c r="B220" s="2">
        <v>46101.637274549103</v>
      </c>
      <c r="C220" t="s">
        <v>16</v>
      </c>
      <c r="D220" t="s">
        <v>22</v>
      </c>
      <c r="E220" t="s">
        <v>23</v>
      </c>
      <c r="F220" t="s">
        <v>24</v>
      </c>
      <c r="G220">
        <v>4</v>
      </c>
      <c r="H220">
        <v>13500</v>
      </c>
      <c r="I220">
        <v>54000</v>
      </c>
      <c r="J220" t="s">
        <v>31</v>
      </c>
      <c r="K220">
        <v>5</v>
      </c>
    </row>
    <row r="221" spans="1:11" x14ac:dyDescent="0.3">
      <c r="A221">
        <v>1220</v>
      </c>
      <c r="B221" s="2">
        <v>46101.99799599198</v>
      </c>
      <c r="C221" t="s">
        <v>21</v>
      </c>
      <c r="D221" t="s">
        <v>26</v>
      </c>
      <c r="E221" t="s">
        <v>33</v>
      </c>
      <c r="F221" t="s">
        <v>14</v>
      </c>
      <c r="G221">
        <v>2</v>
      </c>
      <c r="H221">
        <v>2500</v>
      </c>
      <c r="I221">
        <v>5000</v>
      </c>
      <c r="J221" t="s">
        <v>15</v>
      </c>
      <c r="K221">
        <v>2</v>
      </c>
    </row>
    <row r="222" spans="1:11" x14ac:dyDescent="0.3">
      <c r="A222">
        <v>1221</v>
      </c>
      <c r="B222" s="2">
        <v>46102.358717434858</v>
      </c>
      <c r="C222" t="s">
        <v>37</v>
      </c>
      <c r="D222" t="s">
        <v>12</v>
      </c>
      <c r="E222" t="s">
        <v>13</v>
      </c>
      <c r="F222" t="s">
        <v>14</v>
      </c>
      <c r="G222">
        <v>2</v>
      </c>
      <c r="H222">
        <v>1500</v>
      </c>
      <c r="I222">
        <v>3000</v>
      </c>
      <c r="J222" t="s">
        <v>15</v>
      </c>
      <c r="K222">
        <v>5</v>
      </c>
    </row>
    <row r="223" spans="1:11" x14ac:dyDescent="0.3">
      <c r="A223">
        <v>1222</v>
      </c>
      <c r="B223" s="2">
        <v>46102.719438877757</v>
      </c>
      <c r="C223" t="s">
        <v>25</v>
      </c>
      <c r="D223" t="s">
        <v>12</v>
      </c>
      <c r="E223" t="s">
        <v>27</v>
      </c>
      <c r="F223" t="s">
        <v>19</v>
      </c>
      <c r="G223">
        <v>1</v>
      </c>
      <c r="H223">
        <v>55500</v>
      </c>
      <c r="I223">
        <v>55500</v>
      </c>
      <c r="J223" t="s">
        <v>31</v>
      </c>
      <c r="K223">
        <v>5</v>
      </c>
    </row>
    <row r="224" spans="1:11" x14ac:dyDescent="0.3">
      <c r="A224">
        <v>1223</v>
      </c>
      <c r="B224" s="2">
        <v>46103.080160320627</v>
      </c>
      <c r="C224" t="s">
        <v>37</v>
      </c>
      <c r="D224" t="s">
        <v>22</v>
      </c>
      <c r="E224" t="s">
        <v>13</v>
      </c>
      <c r="F224" t="s">
        <v>14</v>
      </c>
      <c r="G224">
        <v>1</v>
      </c>
      <c r="H224">
        <v>1500</v>
      </c>
      <c r="I224">
        <v>1500</v>
      </c>
      <c r="J224" t="s">
        <v>15</v>
      </c>
      <c r="K224">
        <v>5</v>
      </c>
    </row>
    <row r="225" spans="1:11" x14ac:dyDescent="0.3">
      <c r="A225">
        <v>1224</v>
      </c>
      <c r="B225" s="2">
        <v>46103.440881763519</v>
      </c>
      <c r="C225" t="s">
        <v>50</v>
      </c>
      <c r="D225" t="s">
        <v>26</v>
      </c>
      <c r="E225" t="s">
        <v>39</v>
      </c>
      <c r="F225" t="s">
        <v>19</v>
      </c>
      <c r="G225">
        <v>2</v>
      </c>
      <c r="H225">
        <v>25000</v>
      </c>
      <c r="I225">
        <v>50000</v>
      </c>
      <c r="J225" t="s">
        <v>15</v>
      </c>
      <c r="K225">
        <v>5</v>
      </c>
    </row>
    <row r="226" spans="1:11" x14ac:dyDescent="0.3">
      <c r="A226">
        <v>1225</v>
      </c>
      <c r="B226" s="2">
        <v>46103.801603206412</v>
      </c>
      <c r="C226" t="s">
        <v>51</v>
      </c>
      <c r="D226" t="s">
        <v>22</v>
      </c>
      <c r="E226" t="s">
        <v>27</v>
      </c>
      <c r="F226" t="s">
        <v>19</v>
      </c>
      <c r="G226">
        <v>2</v>
      </c>
      <c r="H226">
        <v>55500</v>
      </c>
      <c r="I226">
        <v>111000</v>
      </c>
      <c r="J226" t="s">
        <v>20</v>
      </c>
      <c r="K226">
        <v>5</v>
      </c>
    </row>
    <row r="227" spans="1:11" x14ac:dyDescent="0.3">
      <c r="A227">
        <v>1226</v>
      </c>
      <c r="B227" s="2">
        <v>46104.162324649304</v>
      </c>
      <c r="C227" t="s">
        <v>46</v>
      </c>
      <c r="D227" t="s">
        <v>17</v>
      </c>
      <c r="E227" t="s">
        <v>39</v>
      </c>
      <c r="F227" t="s">
        <v>19</v>
      </c>
      <c r="G227">
        <v>1</v>
      </c>
      <c r="H227">
        <v>25000</v>
      </c>
      <c r="I227">
        <v>25000</v>
      </c>
      <c r="J227" t="s">
        <v>31</v>
      </c>
      <c r="K227">
        <v>5</v>
      </c>
    </row>
    <row r="228" spans="1:11" x14ac:dyDescent="0.3">
      <c r="A228">
        <v>1227</v>
      </c>
      <c r="B228" s="2">
        <v>46104.523046092167</v>
      </c>
      <c r="C228" t="s">
        <v>36</v>
      </c>
      <c r="D228" t="s">
        <v>22</v>
      </c>
      <c r="E228" t="s">
        <v>23</v>
      </c>
      <c r="F228" t="s">
        <v>24</v>
      </c>
      <c r="G228">
        <v>1</v>
      </c>
      <c r="H228">
        <v>14500</v>
      </c>
      <c r="I228">
        <v>14500</v>
      </c>
      <c r="J228" t="s">
        <v>15</v>
      </c>
      <c r="K228">
        <v>5</v>
      </c>
    </row>
    <row r="229" spans="1:11" x14ac:dyDescent="0.3">
      <c r="A229">
        <v>1228</v>
      </c>
      <c r="B229" s="2">
        <v>46104.883767535073</v>
      </c>
      <c r="C229" t="s">
        <v>25</v>
      </c>
      <c r="D229" t="s">
        <v>22</v>
      </c>
      <c r="E229" t="s">
        <v>13</v>
      </c>
      <c r="F229" t="s">
        <v>14</v>
      </c>
      <c r="G229">
        <v>1</v>
      </c>
      <c r="H229">
        <v>1500</v>
      </c>
      <c r="I229">
        <v>1500</v>
      </c>
      <c r="J229" t="s">
        <v>15</v>
      </c>
      <c r="K229">
        <v>4</v>
      </c>
    </row>
    <row r="230" spans="1:11" x14ac:dyDescent="0.3">
      <c r="A230">
        <v>1229</v>
      </c>
      <c r="B230" s="2">
        <v>46105.244488977951</v>
      </c>
      <c r="C230" t="s">
        <v>48</v>
      </c>
      <c r="D230" t="s">
        <v>22</v>
      </c>
      <c r="E230" t="s">
        <v>39</v>
      </c>
      <c r="F230" t="s">
        <v>19</v>
      </c>
      <c r="G230">
        <v>1</v>
      </c>
      <c r="H230">
        <v>25000</v>
      </c>
      <c r="I230">
        <v>25000</v>
      </c>
      <c r="J230" t="s">
        <v>31</v>
      </c>
      <c r="K230">
        <v>2</v>
      </c>
    </row>
    <row r="231" spans="1:11" x14ac:dyDescent="0.3">
      <c r="A231">
        <v>1230</v>
      </c>
      <c r="B231" s="2">
        <v>46105.605210420843</v>
      </c>
      <c r="C231" t="s">
        <v>16</v>
      </c>
      <c r="D231" t="s">
        <v>26</v>
      </c>
      <c r="E231" t="s">
        <v>29</v>
      </c>
      <c r="F231" t="s">
        <v>19</v>
      </c>
      <c r="G231">
        <v>1</v>
      </c>
      <c r="H231">
        <v>12000</v>
      </c>
      <c r="I231">
        <v>12000</v>
      </c>
      <c r="J231" t="s">
        <v>31</v>
      </c>
      <c r="K231">
        <v>4</v>
      </c>
    </row>
    <row r="232" spans="1:11" x14ac:dyDescent="0.3">
      <c r="A232">
        <v>1231</v>
      </c>
      <c r="B232" s="2">
        <v>46105.965931863728</v>
      </c>
      <c r="C232" t="s">
        <v>21</v>
      </c>
      <c r="D232" t="s">
        <v>44</v>
      </c>
      <c r="E232" t="s">
        <v>23</v>
      </c>
      <c r="F232" t="s">
        <v>24</v>
      </c>
      <c r="G232">
        <v>3</v>
      </c>
      <c r="H232">
        <v>14500</v>
      </c>
      <c r="I232">
        <v>43500</v>
      </c>
      <c r="J232" t="s">
        <v>15</v>
      </c>
      <c r="K232">
        <v>5</v>
      </c>
    </row>
    <row r="233" spans="1:11" x14ac:dyDescent="0.3">
      <c r="A233">
        <v>1232</v>
      </c>
      <c r="B233" s="2">
        <v>46106.326653306613</v>
      </c>
      <c r="C233" t="s">
        <v>51</v>
      </c>
      <c r="D233" t="s">
        <v>26</v>
      </c>
      <c r="E233" t="s">
        <v>29</v>
      </c>
      <c r="F233" t="s">
        <v>19</v>
      </c>
      <c r="G233">
        <v>2</v>
      </c>
      <c r="H233">
        <v>12000</v>
      </c>
      <c r="I233">
        <v>24000</v>
      </c>
      <c r="J233" t="s">
        <v>31</v>
      </c>
      <c r="K233">
        <v>5</v>
      </c>
    </row>
    <row r="234" spans="1:11" x14ac:dyDescent="0.3">
      <c r="A234">
        <v>1233</v>
      </c>
      <c r="B234" s="2">
        <v>46106.68737474949</v>
      </c>
      <c r="C234" t="s">
        <v>25</v>
      </c>
      <c r="D234" t="s">
        <v>44</v>
      </c>
      <c r="E234" t="s">
        <v>27</v>
      </c>
      <c r="F234" t="s">
        <v>19</v>
      </c>
      <c r="G234">
        <v>1</v>
      </c>
      <c r="H234">
        <v>54500</v>
      </c>
      <c r="I234">
        <v>54500</v>
      </c>
      <c r="J234" t="s">
        <v>20</v>
      </c>
      <c r="K234">
        <v>4</v>
      </c>
    </row>
    <row r="235" spans="1:11" x14ac:dyDescent="0.3">
      <c r="A235">
        <v>1234</v>
      </c>
      <c r="B235" s="2">
        <v>46107.048096192382</v>
      </c>
      <c r="C235" t="s">
        <v>47</v>
      </c>
      <c r="D235" t="s">
        <v>12</v>
      </c>
      <c r="E235" t="s">
        <v>23</v>
      </c>
      <c r="F235" t="s">
        <v>24</v>
      </c>
      <c r="G235">
        <v>1</v>
      </c>
      <c r="H235">
        <v>14500</v>
      </c>
      <c r="I235">
        <v>14500</v>
      </c>
      <c r="J235" t="s">
        <v>15</v>
      </c>
      <c r="K235">
        <v>5</v>
      </c>
    </row>
    <row r="236" spans="1:11" x14ac:dyDescent="0.3">
      <c r="A236">
        <v>1235</v>
      </c>
      <c r="B236" s="2">
        <v>46107.408817635267</v>
      </c>
      <c r="C236" t="s">
        <v>41</v>
      </c>
      <c r="D236" t="s">
        <v>12</v>
      </c>
      <c r="E236" t="s">
        <v>33</v>
      </c>
      <c r="F236" t="s">
        <v>14</v>
      </c>
      <c r="G236">
        <v>2</v>
      </c>
      <c r="H236">
        <v>3000</v>
      </c>
      <c r="I236">
        <v>6000</v>
      </c>
      <c r="J236" t="s">
        <v>31</v>
      </c>
      <c r="K236">
        <v>5</v>
      </c>
    </row>
    <row r="237" spans="1:11" x14ac:dyDescent="0.3">
      <c r="A237">
        <v>1236</v>
      </c>
      <c r="B237" s="2">
        <v>46107.769539078137</v>
      </c>
      <c r="C237" t="s">
        <v>46</v>
      </c>
      <c r="D237" t="s">
        <v>17</v>
      </c>
      <c r="E237" t="s">
        <v>43</v>
      </c>
      <c r="F237" t="s">
        <v>14</v>
      </c>
      <c r="G237">
        <v>1</v>
      </c>
      <c r="H237">
        <v>800</v>
      </c>
      <c r="I237">
        <v>800</v>
      </c>
      <c r="J237" t="s">
        <v>15</v>
      </c>
      <c r="K237">
        <v>4</v>
      </c>
    </row>
    <row r="238" spans="1:11" x14ac:dyDescent="0.3">
      <c r="A238">
        <v>1237</v>
      </c>
      <c r="B238" s="2">
        <v>46108.130260521037</v>
      </c>
      <c r="C238" t="s">
        <v>42</v>
      </c>
      <c r="D238" t="s">
        <v>17</v>
      </c>
      <c r="E238" t="s">
        <v>39</v>
      </c>
      <c r="F238" t="s">
        <v>19</v>
      </c>
      <c r="G238">
        <v>1</v>
      </c>
      <c r="H238">
        <v>25000</v>
      </c>
      <c r="I238">
        <v>25000</v>
      </c>
      <c r="J238" t="s">
        <v>31</v>
      </c>
      <c r="K238">
        <v>3</v>
      </c>
    </row>
    <row r="239" spans="1:11" x14ac:dyDescent="0.3">
      <c r="A239">
        <v>1238</v>
      </c>
      <c r="B239" s="2">
        <v>46108.490981963922</v>
      </c>
      <c r="C239" t="s">
        <v>25</v>
      </c>
      <c r="D239" t="s">
        <v>38</v>
      </c>
      <c r="E239" t="s">
        <v>18</v>
      </c>
      <c r="F239" t="s">
        <v>19</v>
      </c>
      <c r="G239">
        <v>1</v>
      </c>
      <c r="H239">
        <v>22000</v>
      </c>
      <c r="I239">
        <v>22000</v>
      </c>
      <c r="J239" t="s">
        <v>15</v>
      </c>
      <c r="K239">
        <v>5</v>
      </c>
    </row>
    <row r="240" spans="1:11" x14ac:dyDescent="0.3">
      <c r="A240">
        <v>1239</v>
      </c>
      <c r="B240" s="2">
        <v>46108.851703406814</v>
      </c>
      <c r="C240" t="s">
        <v>25</v>
      </c>
      <c r="D240" t="s">
        <v>12</v>
      </c>
      <c r="E240" t="s">
        <v>33</v>
      </c>
      <c r="F240" t="s">
        <v>14</v>
      </c>
      <c r="G240">
        <v>2</v>
      </c>
      <c r="H240">
        <v>2500</v>
      </c>
      <c r="I240">
        <v>5000</v>
      </c>
      <c r="J240" t="s">
        <v>15</v>
      </c>
      <c r="K240">
        <v>4</v>
      </c>
    </row>
    <row r="241" spans="1:11" x14ac:dyDescent="0.3">
      <c r="A241">
        <v>1240</v>
      </c>
      <c r="B241" s="2">
        <v>46109.212424849698</v>
      </c>
      <c r="C241" t="s">
        <v>40</v>
      </c>
      <c r="D241" t="s">
        <v>17</v>
      </c>
      <c r="E241" t="s">
        <v>23</v>
      </c>
      <c r="F241" t="s">
        <v>24</v>
      </c>
      <c r="G241">
        <v>3</v>
      </c>
      <c r="H241">
        <v>14000</v>
      </c>
      <c r="I241">
        <v>42000</v>
      </c>
      <c r="J241" t="s">
        <v>15</v>
      </c>
      <c r="K241">
        <v>5</v>
      </c>
    </row>
    <row r="242" spans="1:11" x14ac:dyDescent="0.3">
      <c r="A242">
        <v>1241</v>
      </c>
      <c r="B242" s="2">
        <v>46109.573146292583</v>
      </c>
      <c r="C242" t="s">
        <v>32</v>
      </c>
      <c r="D242" t="s">
        <v>12</v>
      </c>
      <c r="E242" t="s">
        <v>33</v>
      </c>
      <c r="F242" t="s">
        <v>14</v>
      </c>
      <c r="G242">
        <v>2</v>
      </c>
      <c r="H242">
        <v>2000</v>
      </c>
      <c r="I242">
        <v>4000</v>
      </c>
      <c r="J242" t="s">
        <v>31</v>
      </c>
      <c r="K242">
        <v>5</v>
      </c>
    </row>
    <row r="243" spans="1:11" x14ac:dyDescent="0.3">
      <c r="A243">
        <v>1242</v>
      </c>
      <c r="B243" s="2">
        <v>46109.933867735461</v>
      </c>
      <c r="C243" t="s">
        <v>48</v>
      </c>
      <c r="D243" t="s">
        <v>26</v>
      </c>
      <c r="E243" t="s">
        <v>43</v>
      </c>
      <c r="F243" t="s">
        <v>14</v>
      </c>
      <c r="G243">
        <v>2</v>
      </c>
      <c r="H243">
        <v>800</v>
      </c>
      <c r="I243">
        <v>1600</v>
      </c>
      <c r="J243" t="s">
        <v>15</v>
      </c>
      <c r="K243">
        <v>5</v>
      </c>
    </row>
    <row r="244" spans="1:11" x14ac:dyDescent="0.3">
      <c r="A244">
        <v>1243</v>
      </c>
      <c r="B244" s="2">
        <v>46110.294589178353</v>
      </c>
      <c r="C244" t="s">
        <v>35</v>
      </c>
      <c r="D244" t="s">
        <v>44</v>
      </c>
      <c r="E244" t="s">
        <v>29</v>
      </c>
      <c r="F244" t="s">
        <v>19</v>
      </c>
      <c r="G244">
        <v>2</v>
      </c>
      <c r="H244">
        <v>12000</v>
      </c>
      <c r="I244">
        <v>24000</v>
      </c>
      <c r="J244" t="s">
        <v>31</v>
      </c>
      <c r="K244">
        <v>4</v>
      </c>
    </row>
    <row r="245" spans="1:11" x14ac:dyDescent="0.3">
      <c r="A245">
        <v>1244</v>
      </c>
      <c r="B245" s="2">
        <v>46110.655310621238</v>
      </c>
      <c r="C245" t="s">
        <v>41</v>
      </c>
      <c r="D245" t="s">
        <v>12</v>
      </c>
      <c r="E245" t="s">
        <v>23</v>
      </c>
      <c r="F245" t="s">
        <v>24</v>
      </c>
      <c r="G245">
        <v>1</v>
      </c>
      <c r="H245">
        <v>14000</v>
      </c>
      <c r="I245">
        <v>14000</v>
      </c>
      <c r="J245" t="s">
        <v>31</v>
      </c>
      <c r="K245">
        <v>5</v>
      </c>
    </row>
    <row r="246" spans="1:11" x14ac:dyDescent="0.3">
      <c r="A246">
        <v>1245</v>
      </c>
      <c r="B246" s="2">
        <v>46111.016032064123</v>
      </c>
      <c r="C246" t="s">
        <v>47</v>
      </c>
      <c r="D246" t="s">
        <v>17</v>
      </c>
      <c r="E246" t="s">
        <v>39</v>
      </c>
      <c r="F246" t="s">
        <v>19</v>
      </c>
      <c r="G246">
        <v>5</v>
      </c>
      <c r="H246">
        <v>25000</v>
      </c>
      <c r="I246">
        <v>125000</v>
      </c>
      <c r="J246" t="s">
        <v>31</v>
      </c>
      <c r="K246">
        <v>5</v>
      </c>
    </row>
    <row r="247" spans="1:11" x14ac:dyDescent="0.3">
      <c r="A247">
        <v>1246</v>
      </c>
      <c r="B247" s="2">
        <v>46111.376753507007</v>
      </c>
      <c r="C247" t="s">
        <v>49</v>
      </c>
      <c r="D247" t="s">
        <v>17</v>
      </c>
      <c r="E247" t="s">
        <v>43</v>
      </c>
      <c r="F247" t="s">
        <v>14</v>
      </c>
      <c r="G247">
        <v>1</v>
      </c>
      <c r="H247">
        <v>300</v>
      </c>
      <c r="I247">
        <v>300</v>
      </c>
      <c r="J247" t="s">
        <v>15</v>
      </c>
      <c r="K247">
        <v>4</v>
      </c>
    </row>
    <row r="248" spans="1:11" x14ac:dyDescent="0.3">
      <c r="A248">
        <v>1247</v>
      </c>
      <c r="B248" s="2">
        <v>46111.737474949892</v>
      </c>
      <c r="C248" t="s">
        <v>48</v>
      </c>
      <c r="D248" t="s">
        <v>17</v>
      </c>
      <c r="E248" t="s">
        <v>43</v>
      </c>
      <c r="F248" t="s">
        <v>14</v>
      </c>
      <c r="G248">
        <v>1</v>
      </c>
      <c r="H248">
        <v>300</v>
      </c>
      <c r="I248">
        <v>300</v>
      </c>
      <c r="J248" t="s">
        <v>15</v>
      </c>
      <c r="K248">
        <v>5</v>
      </c>
    </row>
    <row r="249" spans="1:11" x14ac:dyDescent="0.3">
      <c r="A249">
        <v>1248</v>
      </c>
      <c r="B249" s="2">
        <v>46112.098196392777</v>
      </c>
      <c r="C249" t="s">
        <v>34</v>
      </c>
      <c r="D249" t="s">
        <v>38</v>
      </c>
      <c r="E249" t="s">
        <v>43</v>
      </c>
      <c r="F249" t="s">
        <v>14</v>
      </c>
      <c r="G249">
        <v>2</v>
      </c>
      <c r="H249">
        <v>800</v>
      </c>
      <c r="I249">
        <v>1600</v>
      </c>
      <c r="J249" t="s">
        <v>31</v>
      </c>
      <c r="K249">
        <v>4</v>
      </c>
    </row>
    <row r="250" spans="1:11" x14ac:dyDescent="0.3">
      <c r="A250">
        <v>1249</v>
      </c>
      <c r="B250" s="2">
        <v>46112.458917835669</v>
      </c>
      <c r="C250" t="s">
        <v>16</v>
      </c>
      <c r="D250" t="s">
        <v>26</v>
      </c>
      <c r="E250" t="s">
        <v>13</v>
      </c>
      <c r="F250" t="s">
        <v>14</v>
      </c>
      <c r="G250">
        <v>2</v>
      </c>
      <c r="H250">
        <v>2000</v>
      </c>
      <c r="I250">
        <v>4000</v>
      </c>
      <c r="J250" t="s">
        <v>31</v>
      </c>
      <c r="K250">
        <v>5</v>
      </c>
    </row>
    <row r="251" spans="1:11" x14ac:dyDescent="0.3">
      <c r="A251">
        <v>1250</v>
      </c>
      <c r="B251" s="2">
        <v>46112.819639278547</v>
      </c>
      <c r="C251" t="s">
        <v>32</v>
      </c>
      <c r="D251" t="s">
        <v>44</v>
      </c>
      <c r="E251" t="s">
        <v>33</v>
      </c>
      <c r="F251" t="s">
        <v>14</v>
      </c>
      <c r="G251">
        <v>1</v>
      </c>
      <c r="H251">
        <v>2500</v>
      </c>
      <c r="I251">
        <v>2500</v>
      </c>
      <c r="J251" t="s">
        <v>15</v>
      </c>
      <c r="K251">
        <v>5</v>
      </c>
    </row>
    <row r="252" spans="1:11" x14ac:dyDescent="0.3">
      <c r="A252">
        <v>1251</v>
      </c>
      <c r="B252" s="2">
        <v>46113.180360721439</v>
      </c>
      <c r="C252" t="s">
        <v>50</v>
      </c>
      <c r="D252" t="s">
        <v>17</v>
      </c>
      <c r="E252" t="s">
        <v>43</v>
      </c>
      <c r="F252" t="s">
        <v>14</v>
      </c>
      <c r="G252">
        <v>2</v>
      </c>
      <c r="H252">
        <v>300</v>
      </c>
      <c r="I252">
        <v>600</v>
      </c>
      <c r="J252" t="s">
        <v>15</v>
      </c>
      <c r="K252">
        <v>5</v>
      </c>
    </row>
    <row r="253" spans="1:11" x14ac:dyDescent="0.3">
      <c r="A253">
        <v>1252</v>
      </c>
      <c r="B253" s="2">
        <v>46113.541082164324</v>
      </c>
      <c r="C253" t="s">
        <v>47</v>
      </c>
      <c r="D253" t="s">
        <v>26</v>
      </c>
      <c r="E253" t="s">
        <v>39</v>
      </c>
      <c r="F253" t="s">
        <v>19</v>
      </c>
      <c r="G253">
        <v>4</v>
      </c>
      <c r="H253">
        <v>25000</v>
      </c>
      <c r="I253">
        <v>100000</v>
      </c>
      <c r="J253" t="s">
        <v>20</v>
      </c>
      <c r="K253">
        <v>5</v>
      </c>
    </row>
    <row r="254" spans="1:11" x14ac:dyDescent="0.3">
      <c r="A254">
        <v>1253</v>
      </c>
      <c r="B254" s="2">
        <v>46113.901803607208</v>
      </c>
      <c r="C254" t="s">
        <v>51</v>
      </c>
      <c r="D254" t="s">
        <v>26</v>
      </c>
      <c r="E254" t="s">
        <v>29</v>
      </c>
      <c r="F254" t="s">
        <v>19</v>
      </c>
      <c r="G254">
        <v>3</v>
      </c>
      <c r="H254">
        <v>12000</v>
      </c>
      <c r="I254">
        <v>36000</v>
      </c>
      <c r="J254" t="s">
        <v>15</v>
      </c>
      <c r="K254">
        <v>5</v>
      </c>
    </row>
    <row r="255" spans="1:11" x14ac:dyDescent="0.3">
      <c r="A255">
        <v>1254</v>
      </c>
      <c r="B255" s="2">
        <v>46114.262525050093</v>
      </c>
      <c r="C255" t="s">
        <v>16</v>
      </c>
      <c r="D255" t="s">
        <v>44</v>
      </c>
      <c r="E255" t="s">
        <v>27</v>
      </c>
      <c r="F255" t="s">
        <v>19</v>
      </c>
      <c r="G255">
        <v>3</v>
      </c>
      <c r="H255">
        <v>55000</v>
      </c>
      <c r="I255">
        <v>165000</v>
      </c>
      <c r="J255" t="s">
        <v>15</v>
      </c>
      <c r="K255">
        <v>4</v>
      </c>
    </row>
    <row r="256" spans="1:11" x14ac:dyDescent="0.3">
      <c r="A256">
        <v>1255</v>
      </c>
      <c r="B256" s="2">
        <v>46114.623246492978</v>
      </c>
      <c r="C256" t="s">
        <v>28</v>
      </c>
      <c r="D256" t="s">
        <v>22</v>
      </c>
      <c r="E256" t="s">
        <v>43</v>
      </c>
      <c r="F256" t="s">
        <v>14</v>
      </c>
      <c r="G256">
        <v>1</v>
      </c>
      <c r="H256">
        <v>300</v>
      </c>
      <c r="I256">
        <v>300</v>
      </c>
      <c r="J256" t="s">
        <v>15</v>
      </c>
      <c r="K256">
        <v>4</v>
      </c>
    </row>
    <row r="257" spans="1:11" x14ac:dyDescent="0.3">
      <c r="A257">
        <v>1256</v>
      </c>
      <c r="B257" s="2">
        <v>46114.98396793587</v>
      </c>
      <c r="C257" t="s">
        <v>41</v>
      </c>
      <c r="D257" t="s">
        <v>26</v>
      </c>
      <c r="E257" t="s">
        <v>33</v>
      </c>
      <c r="F257" t="s">
        <v>14</v>
      </c>
      <c r="G257">
        <v>2</v>
      </c>
      <c r="H257">
        <v>2500</v>
      </c>
      <c r="I257">
        <v>5000</v>
      </c>
      <c r="J257" t="s">
        <v>31</v>
      </c>
      <c r="K257">
        <v>5</v>
      </c>
    </row>
    <row r="258" spans="1:11" x14ac:dyDescent="0.3">
      <c r="A258">
        <v>1257</v>
      </c>
      <c r="B258" s="2">
        <v>46115.344689378748</v>
      </c>
      <c r="C258" t="s">
        <v>42</v>
      </c>
      <c r="D258" t="s">
        <v>26</v>
      </c>
      <c r="E258" t="s">
        <v>18</v>
      </c>
      <c r="F258" t="s">
        <v>19</v>
      </c>
      <c r="G258">
        <v>1</v>
      </c>
      <c r="H258">
        <v>22500</v>
      </c>
      <c r="I258">
        <v>22500</v>
      </c>
      <c r="J258" t="s">
        <v>45</v>
      </c>
      <c r="K258">
        <v>4</v>
      </c>
    </row>
    <row r="259" spans="1:11" x14ac:dyDescent="0.3">
      <c r="A259">
        <v>1258</v>
      </c>
      <c r="B259" s="2">
        <v>46115.705410821633</v>
      </c>
      <c r="C259" t="s">
        <v>50</v>
      </c>
      <c r="D259" t="s">
        <v>17</v>
      </c>
      <c r="E259" t="s">
        <v>18</v>
      </c>
      <c r="F259" t="s">
        <v>19</v>
      </c>
      <c r="G259">
        <v>3</v>
      </c>
      <c r="H259">
        <v>22000</v>
      </c>
      <c r="I259">
        <v>66000</v>
      </c>
      <c r="J259" t="s">
        <v>45</v>
      </c>
      <c r="K259">
        <v>4</v>
      </c>
    </row>
    <row r="260" spans="1:11" x14ac:dyDescent="0.3">
      <c r="A260">
        <v>1259</v>
      </c>
      <c r="B260" s="2">
        <v>46116.066132264517</v>
      </c>
      <c r="C260" t="s">
        <v>35</v>
      </c>
      <c r="D260" t="s">
        <v>17</v>
      </c>
      <c r="E260" t="s">
        <v>27</v>
      </c>
      <c r="F260" t="s">
        <v>19</v>
      </c>
      <c r="G260">
        <v>1</v>
      </c>
      <c r="H260">
        <v>55000</v>
      </c>
      <c r="I260">
        <v>55000</v>
      </c>
      <c r="J260" t="s">
        <v>31</v>
      </c>
      <c r="K260">
        <v>5</v>
      </c>
    </row>
    <row r="261" spans="1:11" x14ac:dyDescent="0.3">
      <c r="A261">
        <v>1260</v>
      </c>
      <c r="B261" s="2">
        <v>46116.426853707409</v>
      </c>
      <c r="C261" t="s">
        <v>35</v>
      </c>
      <c r="D261" t="s">
        <v>22</v>
      </c>
      <c r="E261" t="s">
        <v>29</v>
      </c>
      <c r="F261" t="s">
        <v>19</v>
      </c>
      <c r="G261">
        <v>1</v>
      </c>
      <c r="H261">
        <v>12000</v>
      </c>
      <c r="I261">
        <v>12000</v>
      </c>
      <c r="J261" t="s">
        <v>31</v>
      </c>
      <c r="K261">
        <v>5</v>
      </c>
    </row>
    <row r="262" spans="1:11" x14ac:dyDescent="0.3">
      <c r="A262">
        <v>1261</v>
      </c>
      <c r="B262" s="2">
        <v>46116.787575150287</v>
      </c>
      <c r="C262" t="s">
        <v>36</v>
      </c>
      <c r="D262" t="s">
        <v>44</v>
      </c>
      <c r="E262" t="s">
        <v>43</v>
      </c>
      <c r="F262" t="s">
        <v>14</v>
      </c>
      <c r="G262">
        <v>2</v>
      </c>
      <c r="H262">
        <v>800</v>
      </c>
      <c r="I262">
        <v>1600</v>
      </c>
      <c r="J262" t="s">
        <v>15</v>
      </c>
      <c r="K262">
        <v>4</v>
      </c>
    </row>
    <row r="263" spans="1:11" x14ac:dyDescent="0.3">
      <c r="A263">
        <v>1262</v>
      </c>
      <c r="B263" s="2">
        <v>46117.148296593186</v>
      </c>
      <c r="C263" t="s">
        <v>21</v>
      </c>
      <c r="D263" t="s">
        <v>17</v>
      </c>
      <c r="E263" t="s">
        <v>33</v>
      </c>
      <c r="F263" t="s">
        <v>14</v>
      </c>
      <c r="G263">
        <v>1</v>
      </c>
      <c r="H263">
        <v>2000</v>
      </c>
      <c r="I263">
        <v>2000</v>
      </c>
      <c r="J263" t="s">
        <v>15</v>
      </c>
      <c r="K263">
        <v>4</v>
      </c>
    </row>
    <row r="264" spans="1:11" x14ac:dyDescent="0.3">
      <c r="A264">
        <v>1263</v>
      </c>
      <c r="B264" s="2">
        <v>46117.509018036057</v>
      </c>
      <c r="C264" t="s">
        <v>46</v>
      </c>
      <c r="D264" t="s">
        <v>26</v>
      </c>
      <c r="E264" t="s">
        <v>33</v>
      </c>
      <c r="F264" t="s">
        <v>14</v>
      </c>
      <c r="G264">
        <v>1</v>
      </c>
      <c r="H264">
        <v>2500</v>
      </c>
      <c r="I264">
        <v>2500</v>
      </c>
      <c r="J264" t="s">
        <v>31</v>
      </c>
      <c r="K264">
        <v>4</v>
      </c>
    </row>
    <row r="265" spans="1:11" x14ac:dyDescent="0.3">
      <c r="A265">
        <v>1264</v>
      </c>
      <c r="B265" s="2">
        <v>46117.869739478949</v>
      </c>
      <c r="C265" t="s">
        <v>16</v>
      </c>
      <c r="D265" t="s">
        <v>26</v>
      </c>
      <c r="E265" t="s">
        <v>13</v>
      </c>
      <c r="F265" t="s">
        <v>14</v>
      </c>
      <c r="G265">
        <v>2</v>
      </c>
      <c r="H265">
        <v>1500</v>
      </c>
      <c r="I265">
        <v>3000</v>
      </c>
      <c r="J265" t="s">
        <v>20</v>
      </c>
      <c r="K265">
        <v>3</v>
      </c>
    </row>
    <row r="266" spans="1:11" x14ac:dyDescent="0.3">
      <c r="A266">
        <v>1265</v>
      </c>
      <c r="B266" s="2">
        <v>46118.230460921841</v>
      </c>
      <c r="C266" t="s">
        <v>41</v>
      </c>
      <c r="D266" t="s">
        <v>44</v>
      </c>
      <c r="E266" t="s">
        <v>39</v>
      </c>
      <c r="F266" t="s">
        <v>19</v>
      </c>
      <c r="G266">
        <v>5</v>
      </c>
      <c r="H266">
        <v>25000</v>
      </c>
      <c r="I266">
        <v>125000</v>
      </c>
      <c r="J266" t="s">
        <v>15</v>
      </c>
      <c r="K266">
        <v>4</v>
      </c>
    </row>
    <row r="267" spans="1:11" x14ac:dyDescent="0.3">
      <c r="A267">
        <v>1266</v>
      </c>
      <c r="B267" s="2">
        <v>46118.591182364733</v>
      </c>
      <c r="C267" t="s">
        <v>32</v>
      </c>
      <c r="D267" t="s">
        <v>17</v>
      </c>
      <c r="E267" t="s">
        <v>27</v>
      </c>
      <c r="F267" t="s">
        <v>19</v>
      </c>
      <c r="G267">
        <v>2</v>
      </c>
      <c r="H267">
        <v>54500</v>
      </c>
      <c r="I267">
        <v>109000</v>
      </c>
      <c r="J267" t="s">
        <v>20</v>
      </c>
      <c r="K267">
        <v>5</v>
      </c>
    </row>
    <row r="268" spans="1:11" x14ac:dyDescent="0.3">
      <c r="A268">
        <v>1267</v>
      </c>
      <c r="B268" s="2">
        <v>46118.951903807603</v>
      </c>
      <c r="C268" t="s">
        <v>51</v>
      </c>
      <c r="D268" t="s">
        <v>12</v>
      </c>
      <c r="E268" t="s">
        <v>29</v>
      </c>
      <c r="F268" t="s">
        <v>19</v>
      </c>
      <c r="G268">
        <v>1</v>
      </c>
      <c r="H268">
        <v>12000</v>
      </c>
      <c r="I268">
        <v>12000</v>
      </c>
      <c r="J268" t="s">
        <v>15</v>
      </c>
      <c r="K268">
        <v>5</v>
      </c>
    </row>
    <row r="269" spans="1:11" x14ac:dyDescent="0.3">
      <c r="A269">
        <v>1268</v>
      </c>
      <c r="B269" s="2">
        <v>46119.312625250503</v>
      </c>
      <c r="C269" t="s">
        <v>35</v>
      </c>
      <c r="D269" t="s">
        <v>44</v>
      </c>
      <c r="E269" t="s">
        <v>33</v>
      </c>
      <c r="F269" t="s">
        <v>14</v>
      </c>
      <c r="G269">
        <v>1</v>
      </c>
      <c r="H269">
        <v>2500</v>
      </c>
      <c r="I269">
        <v>2500</v>
      </c>
      <c r="J269" t="s">
        <v>15</v>
      </c>
      <c r="K269">
        <v>5</v>
      </c>
    </row>
    <row r="270" spans="1:11" x14ac:dyDescent="0.3">
      <c r="A270">
        <v>1269</v>
      </c>
      <c r="B270" s="2">
        <v>46119.67334669338</v>
      </c>
      <c r="C270" t="s">
        <v>51</v>
      </c>
      <c r="D270" t="s">
        <v>44</v>
      </c>
      <c r="E270" t="s">
        <v>43</v>
      </c>
      <c r="F270" t="s">
        <v>14</v>
      </c>
      <c r="G270">
        <v>1</v>
      </c>
      <c r="H270">
        <v>800</v>
      </c>
      <c r="I270">
        <v>800</v>
      </c>
      <c r="J270" t="s">
        <v>45</v>
      </c>
      <c r="K270">
        <v>3</v>
      </c>
    </row>
    <row r="271" spans="1:11" x14ac:dyDescent="0.3">
      <c r="A271">
        <v>1270</v>
      </c>
      <c r="B271" s="2">
        <v>46120.034068136258</v>
      </c>
      <c r="C271" t="s">
        <v>34</v>
      </c>
      <c r="D271" t="s">
        <v>44</v>
      </c>
      <c r="E271" t="s">
        <v>29</v>
      </c>
      <c r="F271" t="s">
        <v>19</v>
      </c>
      <c r="G271">
        <v>1</v>
      </c>
      <c r="H271">
        <v>11500</v>
      </c>
      <c r="I271">
        <v>11500</v>
      </c>
      <c r="J271" t="s">
        <v>20</v>
      </c>
      <c r="K271">
        <v>5</v>
      </c>
    </row>
    <row r="272" spans="1:11" x14ac:dyDescent="0.3">
      <c r="A272">
        <v>1271</v>
      </c>
      <c r="B272" s="2">
        <v>46120.394789579157</v>
      </c>
      <c r="C272" t="s">
        <v>46</v>
      </c>
      <c r="D272" t="s">
        <v>44</v>
      </c>
      <c r="E272" t="s">
        <v>23</v>
      </c>
      <c r="F272" t="s">
        <v>24</v>
      </c>
      <c r="G272">
        <v>2</v>
      </c>
      <c r="H272">
        <v>14000</v>
      </c>
      <c r="I272">
        <v>28000</v>
      </c>
      <c r="J272" t="s">
        <v>45</v>
      </c>
      <c r="K272">
        <v>3</v>
      </c>
    </row>
    <row r="273" spans="1:11" x14ac:dyDescent="0.3">
      <c r="A273">
        <v>1272</v>
      </c>
      <c r="B273" s="2">
        <v>46120.755511022027</v>
      </c>
      <c r="C273" t="s">
        <v>34</v>
      </c>
      <c r="D273" t="s">
        <v>38</v>
      </c>
      <c r="E273" t="s">
        <v>33</v>
      </c>
      <c r="F273" t="s">
        <v>14</v>
      </c>
      <c r="G273">
        <v>1</v>
      </c>
      <c r="H273">
        <v>2500</v>
      </c>
      <c r="I273">
        <v>2500</v>
      </c>
      <c r="J273" t="s">
        <v>15</v>
      </c>
      <c r="K273">
        <v>4</v>
      </c>
    </row>
    <row r="274" spans="1:11" x14ac:dyDescent="0.3">
      <c r="A274">
        <v>1273</v>
      </c>
      <c r="B274" s="2">
        <v>46121.116232464919</v>
      </c>
      <c r="C274" t="s">
        <v>28</v>
      </c>
      <c r="D274" t="s">
        <v>22</v>
      </c>
      <c r="E274" t="s">
        <v>33</v>
      </c>
      <c r="F274" t="s">
        <v>14</v>
      </c>
      <c r="G274">
        <v>3</v>
      </c>
      <c r="H274">
        <v>2500</v>
      </c>
      <c r="I274">
        <v>7500</v>
      </c>
      <c r="J274" t="s">
        <v>31</v>
      </c>
      <c r="K274">
        <v>5</v>
      </c>
    </row>
    <row r="275" spans="1:11" x14ac:dyDescent="0.3">
      <c r="A275">
        <v>1274</v>
      </c>
      <c r="B275" s="2">
        <v>46121.476953907812</v>
      </c>
      <c r="C275" t="s">
        <v>34</v>
      </c>
      <c r="D275" t="s">
        <v>12</v>
      </c>
      <c r="E275" t="s">
        <v>18</v>
      </c>
      <c r="F275" t="s">
        <v>19</v>
      </c>
      <c r="G275">
        <v>1</v>
      </c>
      <c r="H275">
        <v>22000</v>
      </c>
      <c r="I275">
        <v>22000</v>
      </c>
      <c r="J275" t="s">
        <v>15</v>
      </c>
      <c r="K275">
        <v>5</v>
      </c>
    </row>
    <row r="276" spans="1:11" x14ac:dyDescent="0.3">
      <c r="A276">
        <v>1275</v>
      </c>
      <c r="B276" s="2">
        <v>46121.837675350696</v>
      </c>
      <c r="C276" t="s">
        <v>37</v>
      </c>
      <c r="D276" t="s">
        <v>22</v>
      </c>
      <c r="E276" t="s">
        <v>18</v>
      </c>
      <c r="F276" t="s">
        <v>19</v>
      </c>
      <c r="G276">
        <v>2</v>
      </c>
      <c r="H276">
        <v>22000</v>
      </c>
      <c r="I276">
        <v>44000</v>
      </c>
      <c r="J276" t="s">
        <v>31</v>
      </c>
      <c r="K276">
        <v>3</v>
      </c>
    </row>
    <row r="277" spans="1:11" x14ac:dyDescent="0.3">
      <c r="A277">
        <v>1276</v>
      </c>
      <c r="B277" s="2">
        <v>46122.198396793567</v>
      </c>
      <c r="C277" t="s">
        <v>49</v>
      </c>
      <c r="D277" t="s">
        <v>44</v>
      </c>
      <c r="E277" t="s">
        <v>33</v>
      </c>
      <c r="F277" t="s">
        <v>14</v>
      </c>
      <c r="G277">
        <v>1</v>
      </c>
      <c r="H277">
        <v>2500</v>
      </c>
      <c r="I277">
        <v>2500</v>
      </c>
      <c r="J277" t="s">
        <v>15</v>
      </c>
      <c r="K277">
        <v>3</v>
      </c>
    </row>
    <row r="278" spans="1:11" x14ac:dyDescent="0.3">
      <c r="A278">
        <v>1277</v>
      </c>
      <c r="B278" s="2">
        <v>46122.559118236473</v>
      </c>
      <c r="C278" t="s">
        <v>41</v>
      </c>
      <c r="D278" t="s">
        <v>22</v>
      </c>
      <c r="E278" t="s">
        <v>39</v>
      </c>
      <c r="F278" t="s">
        <v>19</v>
      </c>
      <c r="G278">
        <v>2</v>
      </c>
      <c r="H278">
        <v>25000</v>
      </c>
      <c r="I278">
        <v>50000</v>
      </c>
      <c r="J278" t="s">
        <v>20</v>
      </c>
      <c r="K278">
        <v>5</v>
      </c>
    </row>
    <row r="279" spans="1:11" x14ac:dyDescent="0.3">
      <c r="A279">
        <v>1278</v>
      </c>
      <c r="B279" s="2">
        <v>46122.919839679351</v>
      </c>
      <c r="C279" t="s">
        <v>25</v>
      </c>
      <c r="D279" t="s">
        <v>38</v>
      </c>
      <c r="E279" t="s">
        <v>13</v>
      </c>
      <c r="F279" t="s">
        <v>14</v>
      </c>
      <c r="G279">
        <v>1</v>
      </c>
      <c r="H279">
        <v>1500</v>
      </c>
      <c r="I279">
        <v>1500</v>
      </c>
      <c r="J279" t="s">
        <v>31</v>
      </c>
      <c r="K279">
        <v>4</v>
      </c>
    </row>
    <row r="280" spans="1:11" x14ac:dyDescent="0.3">
      <c r="A280">
        <v>1279</v>
      </c>
      <c r="B280" s="2">
        <v>46123.280561122243</v>
      </c>
      <c r="C280" t="s">
        <v>37</v>
      </c>
      <c r="D280" t="s">
        <v>12</v>
      </c>
      <c r="E280" t="s">
        <v>43</v>
      </c>
      <c r="F280" t="s">
        <v>14</v>
      </c>
      <c r="G280">
        <v>1</v>
      </c>
      <c r="H280">
        <v>800</v>
      </c>
      <c r="I280">
        <v>800</v>
      </c>
      <c r="J280" t="s">
        <v>15</v>
      </c>
      <c r="K280">
        <v>3</v>
      </c>
    </row>
    <row r="281" spans="1:11" x14ac:dyDescent="0.3">
      <c r="A281">
        <v>1280</v>
      </c>
      <c r="B281" s="2">
        <v>46123.641282565128</v>
      </c>
      <c r="C281" t="s">
        <v>28</v>
      </c>
      <c r="D281" t="s">
        <v>12</v>
      </c>
      <c r="E281" t="s">
        <v>23</v>
      </c>
      <c r="F281" t="s">
        <v>24</v>
      </c>
      <c r="G281">
        <v>1</v>
      </c>
      <c r="H281">
        <v>14000</v>
      </c>
      <c r="I281">
        <v>14000</v>
      </c>
      <c r="J281" t="s">
        <v>31</v>
      </c>
      <c r="K281">
        <v>2</v>
      </c>
    </row>
    <row r="282" spans="1:11" x14ac:dyDescent="0.3">
      <c r="A282">
        <v>1281</v>
      </c>
      <c r="B282" s="2">
        <v>46124.002004008013</v>
      </c>
      <c r="C282" t="s">
        <v>34</v>
      </c>
      <c r="D282" t="s">
        <v>12</v>
      </c>
      <c r="E282" t="s">
        <v>43</v>
      </c>
      <c r="F282" t="s">
        <v>14</v>
      </c>
      <c r="G282">
        <v>1</v>
      </c>
      <c r="H282">
        <v>300</v>
      </c>
      <c r="I282">
        <v>300</v>
      </c>
      <c r="J282" t="s">
        <v>45</v>
      </c>
      <c r="K282">
        <v>4</v>
      </c>
    </row>
    <row r="283" spans="1:11" x14ac:dyDescent="0.3">
      <c r="A283">
        <v>1282</v>
      </c>
      <c r="B283" s="2">
        <v>46124.36272545089</v>
      </c>
      <c r="C283" t="s">
        <v>50</v>
      </c>
      <c r="D283" t="s">
        <v>17</v>
      </c>
      <c r="E283" t="s">
        <v>23</v>
      </c>
      <c r="F283" t="s">
        <v>24</v>
      </c>
      <c r="G283">
        <v>2</v>
      </c>
      <c r="H283">
        <v>14000</v>
      </c>
      <c r="I283">
        <v>28000</v>
      </c>
      <c r="J283" t="s">
        <v>15</v>
      </c>
      <c r="K283">
        <v>3</v>
      </c>
    </row>
    <row r="284" spans="1:11" x14ac:dyDescent="0.3">
      <c r="A284">
        <v>1283</v>
      </c>
      <c r="B284" s="2">
        <v>46124.723446893782</v>
      </c>
      <c r="C284" t="s">
        <v>37</v>
      </c>
      <c r="D284" t="s">
        <v>38</v>
      </c>
      <c r="E284" t="s">
        <v>27</v>
      </c>
      <c r="F284" t="s">
        <v>19</v>
      </c>
      <c r="G284">
        <v>2</v>
      </c>
      <c r="H284">
        <v>54500</v>
      </c>
      <c r="I284">
        <v>109000</v>
      </c>
      <c r="J284" t="s">
        <v>31</v>
      </c>
      <c r="K284">
        <v>4</v>
      </c>
    </row>
    <row r="285" spans="1:11" x14ac:dyDescent="0.3">
      <c r="A285">
        <v>1284</v>
      </c>
      <c r="B285" s="2">
        <v>46125.084168336667</v>
      </c>
      <c r="C285" t="s">
        <v>21</v>
      </c>
      <c r="D285" t="s">
        <v>38</v>
      </c>
      <c r="E285" t="s">
        <v>43</v>
      </c>
      <c r="F285" t="s">
        <v>14</v>
      </c>
      <c r="G285">
        <v>1</v>
      </c>
      <c r="H285">
        <v>1300</v>
      </c>
      <c r="I285">
        <v>1300</v>
      </c>
      <c r="J285" t="s">
        <v>20</v>
      </c>
      <c r="K285">
        <v>5</v>
      </c>
    </row>
    <row r="286" spans="1:11" x14ac:dyDescent="0.3">
      <c r="A286">
        <v>1285</v>
      </c>
      <c r="B286" s="2">
        <v>46125.444889779552</v>
      </c>
      <c r="C286" t="s">
        <v>48</v>
      </c>
      <c r="D286" t="s">
        <v>17</v>
      </c>
      <c r="E286" t="s">
        <v>43</v>
      </c>
      <c r="F286" t="s">
        <v>14</v>
      </c>
      <c r="G286">
        <v>3</v>
      </c>
      <c r="H286">
        <v>800</v>
      </c>
      <c r="I286">
        <v>2400</v>
      </c>
      <c r="J286" t="s">
        <v>20</v>
      </c>
      <c r="K286">
        <v>4</v>
      </c>
    </row>
    <row r="287" spans="1:11" x14ac:dyDescent="0.3">
      <c r="A287">
        <v>1286</v>
      </c>
      <c r="B287" s="2">
        <v>46125.805611222437</v>
      </c>
      <c r="C287" t="s">
        <v>37</v>
      </c>
      <c r="D287" t="s">
        <v>26</v>
      </c>
      <c r="E287" t="s">
        <v>39</v>
      </c>
      <c r="F287" t="s">
        <v>19</v>
      </c>
      <c r="G287">
        <v>1</v>
      </c>
      <c r="H287">
        <v>25000</v>
      </c>
      <c r="I287">
        <v>25000</v>
      </c>
      <c r="J287" t="s">
        <v>45</v>
      </c>
      <c r="K287">
        <v>5</v>
      </c>
    </row>
    <row r="288" spans="1:11" x14ac:dyDescent="0.3">
      <c r="A288">
        <v>1287</v>
      </c>
      <c r="B288" s="2">
        <v>46126.166332665322</v>
      </c>
      <c r="C288" t="s">
        <v>36</v>
      </c>
      <c r="D288" t="s">
        <v>12</v>
      </c>
      <c r="E288" t="s">
        <v>43</v>
      </c>
      <c r="F288" t="s">
        <v>14</v>
      </c>
      <c r="G288">
        <v>2</v>
      </c>
      <c r="H288">
        <v>1300</v>
      </c>
      <c r="I288">
        <v>2600</v>
      </c>
      <c r="J288" t="s">
        <v>15</v>
      </c>
      <c r="K288">
        <v>5</v>
      </c>
    </row>
    <row r="289" spans="1:11" x14ac:dyDescent="0.3">
      <c r="A289">
        <v>1288</v>
      </c>
      <c r="B289" s="2">
        <v>46126.527054108214</v>
      </c>
      <c r="C289" t="s">
        <v>21</v>
      </c>
      <c r="D289" t="s">
        <v>44</v>
      </c>
      <c r="E289" t="s">
        <v>27</v>
      </c>
      <c r="F289" t="s">
        <v>19</v>
      </c>
      <c r="G289">
        <v>4</v>
      </c>
      <c r="H289">
        <v>55000</v>
      </c>
      <c r="I289">
        <v>220000</v>
      </c>
      <c r="J289" t="s">
        <v>15</v>
      </c>
      <c r="K289">
        <v>5</v>
      </c>
    </row>
    <row r="290" spans="1:11" x14ac:dyDescent="0.3">
      <c r="A290">
        <v>1289</v>
      </c>
      <c r="B290" s="2">
        <v>46126.887775551098</v>
      </c>
      <c r="C290" t="s">
        <v>11</v>
      </c>
      <c r="D290" t="s">
        <v>17</v>
      </c>
      <c r="E290" t="s">
        <v>39</v>
      </c>
      <c r="F290" t="s">
        <v>19</v>
      </c>
      <c r="G290">
        <v>2</v>
      </c>
      <c r="H290">
        <v>25000</v>
      </c>
      <c r="I290">
        <v>50000</v>
      </c>
      <c r="J290" t="s">
        <v>31</v>
      </c>
      <c r="K290">
        <v>5</v>
      </c>
    </row>
    <row r="291" spans="1:11" x14ac:dyDescent="0.3">
      <c r="A291">
        <v>1290</v>
      </c>
      <c r="B291" s="2">
        <v>46127.248496993983</v>
      </c>
      <c r="C291" t="s">
        <v>49</v>
      </c>
      <c r="D291" t="s">
        <v>17</v>
      </c>
      <c r="E291" t="s">
        <v>43</v>
      </c>
      <c r="F291" t="s">
        <v>14</v>
      </c>
      <c r="G291">
        <v>1</v>
      </c>
      <c r="H291">
        <v>300</v>
      </c>
      <c r="I291">
        <v>300</v>
      </c>
      <c r="J291" t="s">
        <v>31</v>
      </c>
      <c r="K291">
        <v>5</v>
      </c>
    </row>
    <row r="292" spans="1:11" x14ac:dyDescent="0.3">
      <c r="A292">
        <v>1291</v>
      </c>
      <c r="B292" s="2">
        <v>46127.609218436861</v>
      </c>
      <c r="C292" t="s">
        <v>46</v>
      </c>
      <c r="D292" t="s">
        <v>22</v>
      </c>
      <c r="E292" t="s">
        <v>27</v>
      </c>
      <c r="F292" t="s">
        <v>19</v>
      </c>
      <c r="G292">
        <v>1</v>
      </c>
      <c r="H292">
        <v>55000</v>
      </c>
      <c r="I292">
        <v>55000</v>
      </c>
      <c r="J292" t="s">
        <v>31</v>
      </c>
      <c r="K292">
        <v>5</v>
      </c>
    </row>
    <row r="293" spans="1:11" x14ac:dyDescent="0.3">
      <c r="A293">
        <v>1292</v>
      </c>
      <c r="B293" s="2">
        <v>46127.96993987976</v>
      </c>
      <c r="C293" t="s">
        <v>36</v>
      </c>
      <c r="D293" t="s">
        <v>22</v>
      </c>
      <c r="E293" t="s">
        <v>29</v>
      </c>
      <c r="F293" t="s">
        <v>19</v>
      </c>
      <c r="G293">
        <v>1</v>
      </c>
      <c r="H293">
        <v>12000</v>
      </c>
      <c r="I293">
        <v>12000</v>
      </c>
      <c r="J293" t="s">
        <v>31</v>
      </c>
      <c r="K293">
        <v>2</v>
      </c>
    </row>
    <row r="294" spans="1:11" x14ac:dyDescent="0.3">
      <c r="A294">
        <v>1293</v>
      </c>
      <c r="B294" s="2">
        <v>46128.330661322638</v>
      </c>
      <c r="C294" t="s">
        <v>35</v>
      </c>
      <c r="D294" t="s">
        <v>22</v>
      </c>
      <c r="E294" t="s">
        <v>39</v>
      </c>
      <c r="F294" t="s">
        <v>19</v>
      </c>
      <c r="G294">
        <v>1</v>
      </c>
      <c r="H294">
        <v>25000</v>
      </c>
      <c r="I294">
        <v>25000</v>
      </c>
      <c r="J294" t="s">
        <v>20</v>
      </c>
      <c r="K294">
        <v>4</v>
      </c>
    </row>
    <row r="295" spans="1:11" x14ac:dyDescent="0.3">
      <c r="A295">
        <v>1294</v>
      </c>
      <c r="B295" s="2">
        <v>46128.691382765523</v>
      </c>
      <c r="C295" t="s">
        <v>47</v>
      </c>
      <c r="D295" t="s">
        <v>44</v>
      </c>
      <c r="E295" t="s">
        <v>13</v>
      </c>
      <c r="F295" t="s">
        <v>14</v>
      </c>
      <c r="G295">
        <v>1</v>
      </c>
      <c r="H295">
        <v>1500</v>
      </c>
      <c r="I295">
        <v>1500</v>
      </c>
      <c r="J295" t="s">
        <v>15</v>
      </c>
      <c r="K295">
        <v>4</v>
      </c>
    </row>
    <row r="296" spans="1:11" x14ac:dyDescent="0.3">
      <c r="A296">
        <v>1295</v>
      </c>
      <c r="B296" s="2">
        <v>46129.052104208407</v>
      </c>
      <c r="C296" t="s">
        <v>40</v>
      </c>
      <c r="D296" t="s">
        <v>26</v>
      </c>
      <c r="E296" t="s">
        <v>29</v>
      </c>
      <c r="F296" t="s">
        <v>19</v>
      </c>
      <c r="G296">
        <v>3</v>
      </c>
      <c r="H296">
        <v>12000</v>
      </c>
      <c r="I296">
        <v>36000</v>
      </c>
      <c r="J296" t="s">
        <v>15</v>
      </c>
      <c r="K296">
        <v>5</v>
      </c>
    </row>
    <row r="297" spans="1:11" x14ac:dyDescent="0.3">
      <c r="A297">
        <v>1296</v>
      </c>
      <c r="B297" s="2">
        <v>46129.412825651299</v>
      </c>
      <c r="C297" t="s">
        <v>36</v>
      </c>
      <c r="D297" t="s">
        <v>17</v>
      </c>
      <c r="E297" t="s">
        <v>27</v>
      </c>
      <c r="F297" t="s">
        <v>19</v>
      </c>
      <c r="G297">
        <v>2</v>
      </c>
      <c r="H297">
        <v>55000</v>
      </c>
      <c r="I297">
        <v>110000</v>
      </c>
      <c r="J297" t="s">
        <v>15</v>
      </c>
      <c r="K297">
        <v>5</v>
      </c>
    </row>
    <row r="298" spans="1:11" x14ac:dyDescent="0.3">
      <c r="A298">
        <v>1297</v>
      </c>
      <c r="B298" s="2">
        <v>46129.773547094177</v>
      </c>
      <c r="C298" t="s">
        <v>30</v>
      </c>
      <c r="D298" t="s">
        <v>17</v>
      </c>
      <c r="E298" t="s">
        <v>33</v>
      </c>
      <c r="F298" t="s">
        <v>14</v>
      </c>
      <c r="G298">
        <v>2</v>
      </c>
      <c r="H298">
        <v>2500</v>
      </c>
      <c r="I298">
        <v>5000</v>
      </c>
      <c r="J298" t="s">
        <v>15</v>
      </c>
      <c r="K298">
        <v>4</v>
      </c>
    </row>
    <row r="299" spans="1:11" x14ac:dyDescent="0.3">
      <c r="A299">
        <v>1298</v>
      </c>
      <c r="B299" s="2">
        <v>46130.134268537069</v>
      </c>
      <c r="C299" t="s">
        <v>47</v>
      </c>
      <c r="D299" t="s">
        <v>22</v>
      </c>
      <c r="E299" t="s">
        <v>29</v>
      </c>
      <c r="F299" t="s">
        <v>19</v>
      </c>
      <c r="G299">
        <v>2</v>
      </c>
      <c r="H299">
        <v>11500</v>
      </c>
      <c r="I299">
        <v>23000</v>
      </c>
      <c r="J299" t="s">
        <v>31</v>
      </c>
      <c r="K299">
        <v>3</v>
      </c>
    </row>
    <row r="300" spans="1:11" x14ac:dyDescent="0.3">
      <c r="A300">
        <v>1299</v>
      </c>
      <c r="B300" s="2">
        <v>46130.494989979947</v>
      </c>
      <c r="C300" t="s">
        <v>32</v>
      </c>
      <c r="D300" t="s">
        <v>38</v>
      </c>
      <c r="E300" t="s">
        <v>39</v>
      </c>
      <c r="F300" t="s">
        <v>19</v>
      </c>
      <c r="G300">
        <v>2</v>
      </c>
      <c r="H300">
        <v>25500</v>
      </c>
      <c r="I300">
        <v>51000</v>
      </c>
      <c r="J300" t="s">
        <v>31</v>
      </c>
      <c r="K300">
        <v>3</v>
      </c>
    </row>
    <row r="301" spans="1:11" x14ac:dyDescent="0.3">
      <c r="A301">
        <v>1300</v>
      </c>
      <c r="B301" s="2">
        <v>46130.855711422839</v>
      </c>
      <c r="C301" t="s">
        <v>30</v>
      </c>
      <c r="D301" t="s">
        <v>22</v>
      </c>
      <c r="E301" t="s">
        <v>13</v>
      </c>
      <c r="F301" t="s">
        <v>14</v>
      </c>
      <c r="G301">
        <v>1</v>
      </c>
      <c r="H301">
        <v>1000</v>
      </c>
      <c r="I301">
        <v>1000</v>
      </c>
      <c r="J301" t="s">
        <v>31</v>
      </c>
      <c r="K301">
        <v>5</v>
      </c>
    </row>
    <row r="302" spans="1:11" x14ac:dyDescent="0.3">
      <c r="A302">
        <v>1301</v>
      </c>
      <c r="B302" s="2">
        <v>46131.216432865731</v>
      </c>
      <c r="C302" t="s">
        <v>48</v>
      </c>
      <c r="D302" t="s">
        <v>26</v>
      </c>
      <c r="E302" t="s">
        <v>23</v>
      </c>
      <c r="F302" t="s">
        <v>24</v>
      </c>
      <c r="G302">
        <v>4</v>
      </c>
      <c r="H302">
        <v>14000</v>
      </c>
      <c r="I302">
        <v>56000</v>
      </c>
      <c r="J302" t="s">
        <v>31</v>
      </c>
      <c r="K302">
        <v>5</v>
      </c>
    </row>
    <row r="303" spans="1:11" x14ac:dyDescent="0.3">
      <c r="A303">
        <v>1302</v>
      </c>
      <c r="B303" s="2">
        <v>46131.577154308608</v>
      </c>
      <c r="C303" t="s">
        <v>46</v>
      </c>
      <c r="D303" t="s">
        <v>22</v>
      </c>
      <c r="E303" t="s">
        <v>27</v>
      </c>
      <c r="F303" t="s">
        <v>19</v>
      </c>
      <c r="G303">
        <v>1</v>
      </c>
      <c r="H303">
        <v>55000</v>
      </c>
      <c r="I303">
        <v>55000</v>
      </c>
      <c r="J303" t="s">
        <v>20</v>
      </c>
      <c r="K303">
        <v>4</v>
      </c>
    </row>
    <row r="304" spans="1:11" x14ac:dyDescent="0.3">
      <c r="A304">
        <v>1303</v>
      </c>
      <c r="B304" s="2">
        <v>46131.937875751493</v>
      </c>
      <c r="C304" t="s">
        <v>46</v>
      </c>
      <c r="D304" t="s">
        <v>22</v>
      </c>
      <c r="E304" t="s">
        <v>29</v>
      </c>
      <c r="F304" t="s">
        <v>19</v>
      </c>
      <c r="G304">
        <v>5</v>
      </c>
      <c r="H304">
        <v>12000</v>
      </c>
      <c r="I304">
        <v>60000</v>
      </c>
      <c r="J304" t="s">
        <v>31</v>
      </c>
      <c r="K304">
        <v>5</v>
      </c>
    </row>
    <row r="305" spans="1:11" x14ac:dyDescent="0.3">
      <c r="A305">
        <v>1304</v>
      </c>
      <c r="B305" s="2">
        <v>46132.298597194393</v>
      </c>
      <c r="C305" t="s">
        <v>47</v>
      </c>
      <c r="D305" t="s">
        <v>12</v>
      </c>
      <c r="E305" t="s">
        <v>39</v>
      </c>
      <c r="F305" t="s">
        <v>19</v>
      </c>
      <c r="G305">
        <v>4</v>
      </c>
      <c r="H305">
        <v>25000</v>
      </c>
      <c r="I305">
        <v>100000</v>
      </c>
      <c r="J305" t="s">
        <v>45</v>
      </c>
      <c r="K305">
        <v>4</v>
      </c>
    </row>
    <row r="306" spans="1:11" x14ac:dyDescent="0.3">
      <c r="A306">
        <v>1305</v>
      </c>
      <c r="B306" s="2">
        <v>46132.65931863727</v>
      </c>
      <c r="C306" t="s">
        <v>42</v>
      </c>
      <c r="D306" t="s">
        <v>44</v>
      </c>
      <c r="E306" t="s">
        <v>13</v>
      </c>
      <c r="F306" t="s">
        <v>14</v>
      </c>
      <c r="G306">
        <v>1</v>
      </c>
      <c r="H306">
        <v>1500</v>
      </c>
      <c r="I306">
        <v>1500</v>
      </c>
      <c r="J306" t="s">
        <v>31</v>
      </c>
      <c r="K306">
        <v>5</v>
      </c>
    </row>
    <row r="307" spans="1:11" x14ac:dyDescent="0.3">
      <c r="A307">
        <v>1306</v>
      </c>
      <c r="B307" s="2">
        <v>46133.020040080148</v>
      </c>
      <c r="C307" t="s">
        <v>32</v>
      </c>
      <c r="D307" t="s">
        <v>26</v>
      </c>
      <c r="E307" t="s">
        <v>27</v>
      </c>
      <c r="F307" t="s">
        <v>19</v>
      </c>
      <c r="G307">
        <v>4</v>
      </c>
      <c r="H307">
        <v>55500</v>
      </c>
      <c r="I307">
        <v>222000</v>
      </c>
      <c r="J307" t="s">
        <v>15</v>
      </c>
      <c r="K307">
        <v>4</v>
      </c>
    </row>
    <row r="308" spans="1:11" x14ac:dyDescent="0.3">
      <c r="A308">
        <v>1307</v>
      </c>
      <c r="B308" s="2">
        <v>46133.380761523047</v>
      </c>
      <c r="C308" t="s">
        <v>32</v>
      </c>
      <c r="D308" t="s">
        <v>44</v>
      </c>
      <c r="E308" t="s">
        <v>27</v>
      </c>
      <c r="F308" t="s">
        <v>19</v>
      </c>
      <c r="G308">
        <v>1</v>
      </c>
      <c r="H308">
        <v>55500</v>
      </c>
      <c r="I308">
        <v>55500</v>
      </c>
      <c r="J308" t="s">
        <v>15</v>
      </c>
      <c r="K308">
        <v>3</v>
      </c>
    </row>
    <row r="309" spans="1:11" x14ac:dyDescent="0.3">
      <c r="A309">
        <v>1308</v>
      </c>
      <c r="B309" s="2">
        <v>46133.741482965917</v>
      </c>
      <c r="C309" t="s">
        <v>35</v>
      </c>
      <c r="D309" t="s">
        <v>12</v>
      </c>
      <c r="E309" t="s">
        <v>43</v>
      </c>
      <c r="F309" t="s">
        <v>14</v>
      </c>
      <c r="G309">
        <v>1</v>
      </c>
      <c r="H309">
        <v>800</v>
      </c>
      <c r="I309">
        <v>800</v>
      </c>
      <c r="J309" t="s">
        <v>15</v>
      </c>
      <c r="K309">
        <v>5</v>
      </c>
    </row>
    <row r="310" spans="1:11" x14ac:dyDescent="0.3">
      <c r="A310">
        <v>1309</v>
      </c>
      <c r="B310" s="2">
        <v>46134.102204408809</v>
      </c>
      <c r="C310" t="s">
        <v>36</v>
      </c>
      <c r="D310" t="s">
        <v>17</v>
      </c>
      <c r="E310" t="s">
        <v>33</v>
      </c>
      <c r="F310" t="s">
        <v>14</v>
      </c>
      <c r="G310">
        <v>3</v>
      </c>
      <c r="H310">
        <v>2000</v>
      </c>
      <c r="I310">
        <v>6000</v>
      </c>
      <c r="J310" t="s">
        <v>15</v>
      </c>
      <c r="K310">
        <v>3</v>
      </c>
    </row>
    <row r="311" spans="1:11" x14ac:dyDescent="0.3">
      <c r="A311">
        <v>1310</v>
      </c>
      <c r="B311" s="2">
        <v>46134.462925851702</v>
      </c>
      <c r="C311" t="s">
        <v>49</v>
      </c>
      <c r="D311" t="s">
        <v>38</v>
      </c>
      <c r="E311" t="s">
        <v>23</v>
      </c>
      <c r="F311" t="s">
        <v>24</v>
      </c>
      <c r="G311">
        <v>1</v>
      </c>
      <c r="H311">
        <v>14000</v>
      </c>
      <c r="I311">
        <v>14000</v>
      </c>
      <c r="J311" t="s">
        <v>15</v>
      </c>
      <c r="K311">
        <v>5</v>
      </c>
    </row>
    <row r="312" spans="1:11" x14ac:dyDescent="0.3">
      <c r="A312">
        <v>1311</v>
      </c>
      <c r="B312" s="2">
        <v>46134.823647294586</v>
      </c>
      <c r="C312" t="s">
        <v>25</v>
      </c>
      <c r="D312" t="s">
        <v>44</v>
      </c>
      <c r="E312" t="s">
        <v>27</v>
      </c>
      <c r="F312" t="s">
        <v>19</v>
      </c>
      <c r="G312">
        <v>2</v>
      </c>
      <c r="H312">
        <v>55500</v>
      </c>
      <c r="I312">
        <v>111000</v>
      </c>
      <c r="J312" t="s">
        <v>15</v>
      </c>
      <c r="K312">
        <v>4</v>
      </c>
    </row>
    <row r="313" spans="1:11" x14ac:dyDescent="0.3">
      <c r="A313">
        <v>1312</v>
      </c>
      <c r="B313" s="2">
        <v>46135.184368737457</v>
      </c>
      <c r="C313" t="s">
        <v>34</v>
      </c>
      <c r="D313" t="s">
        <v>44</v>
      </c>
      <c r="E313" t="s">
        <v>43</v>
      </c>
      <c r="F313" t="s">
        <v>14</v>
      </c>
      <c r="G313">
        <v>2</v>
      </c>
      <c r="H313">
        <v>1300</v>
      </c>
      <c r="I313">
        <v>2600</v>
      </c>
      <c r="J313" t="s">
        <v>31</v>
      </c>
      <c r="K313">
        <v>4</v>
      </c>
    </row>
    <row r="314" spans="1:11" x14ac:dyDescent="0.3">
      <c r="A314">
        <v>1313</v>
      </c>
      <c r="B314" s="2">
        <v>46135.545090180363</v>
      </c>
      <c r="C314" t="s">
        <v>21</v>
      </c>
      <c r="D314" t="s">
        <v>22</v>
      </c>
      <c r="E314" t="s">
        <v>29</v>
      </c>
      <c r="F314" t="s">
        <v>19</v>
      </c>
      <c r="G314">
        <v>1</v>
      </c>
      <c r="H314">
        <v>12500</v>
      </c>
      <c r="I314">
        <v>12500</v>
      </c>
      <c r="J314" t="s">
        <v>15</v>
      </c>
      <c r="K314">
        <v>2</v>
      </c>
    </row>
    <row r="315" spans="1:11" x14ac:dyDescent="0.3">
      <c r="A315">
        <v>1314</v>
      </c>
      <c r="B315" s="2">
        <v>46135.905811623241</v>
      </c>
      <c r="C315" t="s">
        <v>49</v>
      </c>
      <c r="D315" t="s">
        <v>22</v>
      </c>
      <c r="E315" t="s">
        <v>39</v>
      </c>
      <c r="F315" t="s">
        <v>19</v>
      </c>
      <c r="G315">
        <v>1</v>
      </c>
      <c r="H315">
        <v>24500</v>
      </c>
      <c r="I315">
        <v>24500</v>
      </c>
      <c r="J315" t="s">
        <v>20</v>
      </c>
      <c r="K315">
        <v>4</v>
      </c>
    </row>
    <row r="316" spans="1:11" x14ac:dyDescent="0.3">
      <c r="A316">
        <v>1315</v>
      </c>
      <c r="B316" s="2">
        <v>46136.266533066133</v>
      </c>
      <c r="C316" t="s">
        <v>48</v>
      </c>
      <c r="D316" t="s">
        <v>22</v>
      </c>
      <c r="E316" t="s">
        <v>13</v>
      </c>
      <c r="F316" t="s">
        <v>14</v>
      </c>
      <c r="G316">
        <v>2</v>
      </c>
      <c r="H316">
        <v>1500</v>
      </c>
      <c r="I316">
        <v>3000</v>
      </c>
      <c r="J316" t="s">
        <v>31</v>
      </c>
      <c r="K316">
        <v>4</v>
      </c>
    </row>
    <row r="317" spans="1:11" x14ac:dyDescent="0.3">
      <c r="A317">
        <v>1316</v>
      </c>
      <c r="B317" s="2">
        <v>46136.627254509018</v>
      </c>
      <c r="C317" t="s">
        <v>50</v>
      </c>
      <c r="D317" t="s">
        <v>22</v>
      </c>
      <c r="E317" t="s">
        <v>18</v>
      </c>
      <c r="F317" t="s">
        <v>19</v>
      </c>
      <c r="G317">
        <v>1</v>
      </c>
      <c r="H317">
        <v>22000</v>
      </c>
      <c r="I317">
        <v>22000</v>
      </c>
      <c r="J317" t="s">
        <v>31</v>
      </c>
      <c r="K317">
        <v>4</v>
      </c>
    </row>
    <row r="318" spans="1:11" x14ac:dyDescent="0.3">
      <c r="A318">
        <v>1317</v>
      </c>
      <c r="B318" s="2">
        <v>46136.987975951903</v>
      </c>
      <c r="C318" t="s">
        <v>25</v>
      </c>
      <c r="D318" t="s">
        <v>26</v>
      </c>
      <c r="E318" t="s">
        <v>13</v>
      </c>
      <c r="F318" t="s">
        <v>14</v>
      </c>
      <c r="G318">
        <v>2</v>
      </c>
      <c r="H318">
        <v>1500</v>
      </c>
      <c r="I318">
        <v>3000</v>
      </c>
      <c r="J318" t="s">
        <v>45</v>
      </c>
      <c r="K318">
        <v>4</v>
      </c>
    </row>
    <row r="319" spans="1:11" x14ac:dyDescent="0.3">
      <c r="A319">
        <v>1318</v>
      </c>
      <c r="B319" s="2">
        <v>46137.34869739478</v>
      </c>
      <c r="C319" t="s">
        <v>11</v>
      </c>
      <c r="D319" t="s">
        <v>44</v>
      </c>
      <c r="E319" t="s">
        <v>27</v>
      </c>
      <c r="F319" t="s">
        <v>19</v>
      </c>
      <c r="G319">
        <v>3</v>
      </c>
      <c r="H319">
        <v>55000</v>
      </c>
      <c r="I319">
        <v>165000</v>
      </c>
      <c r="J319" t="s">
        <v>15</v>
      </c>
      <c r="K319">
        <v>4</v>
      </c>
    </row>
    <row r="320" spans="1:11" x14ac:dyDescent="0.3">
      <c r="A320">
        <v>1319</v>
      </c>
      <c r="B320" s="2">
        <v>46137.709418837672</v>
      </c>
      <c r="C320" t="s">
        <v>25</v>
      </c>
      <c r="D320" t="s">
        <v>26</v>
      </c>
      <c r="E320" t="s">
        <v>39</v>
      </c>
      <c r="F320" t="s">
        <v>19</v>
      </c>
      <c r="G320">
        <v>2</v>
      </c>
      <c r="H320">
        <v>25000</v>
      </c>
      <c r="I320">
        <v>50000</v>
      </c>
      <c r="J320" t="s">
        <v>15</v>
      </c>
      <c r="K320">
        <v>4</v>
      </c>
    </row>
    <row r="321" spans="1:11" x14ac:dyDescent="0.3">
      <c r="A321">
        <v>1320</v>
      </c>
      <c r="B321" s="2">
        <v>46138.070140280557</v>
      </c>
      <c r="C321" t="s">
        <v>48</v>
      </c>
      <c r="D321" t="s">
        <v>12</v>
      </c>
      <c r="E321" t="s">
        <v>23</v>
      </c>
      <c r="F321" t="s">
        <v>24</v>
      </c>
      <c r="G321">
        <v>2</v>
      </c>
      <c r="H321">
        <v>14000</v>
      </c>
      <c r="I321">
        <v>28000</v>
      </c>
      <c r="J321" t="s">
        <v>15</v>
      </c>
      <c r="K321">
        <v>4</v>
      </c>
    </row>
    <row r="322" spans="1:11" x14ac:dyDescent="0.3">
      <c r="A322">
        <v>1321</v>
      </c>
      <c r="B322" s="2">
        <v>46138.430861723427</v>
      </c>
      <c r="C322" t="s">
        <v>51</v>
      </c>
      <c r="D322" t="s">
        <v>17</v>
      </c>
      <c r="E322" t="s">
        <v>23</v>
      </c>
      <c r="F322" t="s">
        <v>24</v>
      </c>
      <c r="G322">
        <v>2</v>
      </c>
      <c r="H322">
        <v>14000</v>
      </c>
      <c r="I322">
        <v>28000</v>
      </c>
      <c r="J322" t="s">
        <v>31</v>
      </c>
      <c r="K322">
        <v>4</v>
      </c>
    </row>
    <row r="323" spans="1:11" x14ac:dyDescent="0.3">
      <c r="A323">
        <v>1322</v>
      </c>
      <c r="B323" s="2">
        <v>46138.791583166327</v>
      </c>
      <c r="C323" t="s">
        <v>21</v>
      </c>
      <c r="D323" t="s">
        <v>12</v>
      </c>
      <c r="E323" t="s">
        <v>27</v>
      </c>
      <c r="F323" t="s">
        <v>19</v>
      </c>
      <c r="G323">
        <v>1</v>
      </c>
      <c r="H323">
        <v>55000</v>
      </c>
      <c r="I323">
        <v>55000</v>
      </c>
      <c r="J323" t="s">
        <v>15</v>
      </c>
      <c r="K323">
        <v>4</v>
      </c>
    </row>
    <row r="324" spans="1:11" x14ac:dyDescent="0.3">
      <c r="A324">
        <v>1323</v>
      </c>
      <c r="B324" s="2">
        <v>46139.152304609212</v>
      </c>
      <c r="C324" t="s">
        <v>28</v>
      </c>
      <c r="D324" t="s">
        <v>26</v>
      </c>
      <c r="E324" t="s">
        <v>39</v>
      </c>
      <c r="F324" t="s">
        <v>19</v>
      </c>
      <c r="G324">
        <v>1</v>
      </c>
      <c r="H324">
        <v>25000</v>
      </c>
      <c r="I324">
        <v>25000</v>
      </c>
      <c r="J324" t="s">
        <v>31</v>
      </c>
      <c r="K324">
        <v>4</v>
      </c>
    </row>
    <row r="325" spans="1:11" x14ac:dyDescent="0.3">
      <c r="A325">
        <v>1324</v>
      </c>
      <c r="B325" s="2">
        <v>46139.513026052096</v>
      </c>
      <c r="C325" t="s">
        <v>41</v>
      </c>
      <c r="D325" t="s">
        <v>44</v>
      </c>
      <c r="E325" t="s">
        <v>39</v>
      </c>
      <c r="F325" t="s">
        <v>19</v>
      </c>
      <c r="G325">
        <v>3</v>
      </c>
      <c r="H325">
        <v>25000</v>
      </c>
      <c r="I325">
        <v>75000</v>
      </c>
      <c r="J325" t="s">
        <v>20</v>
      </c>
      <c r="K325">
        <v>4</v>
      </c>
    </row>
    <row r="326" spans="1:11" x14ac:dyDescent="0.3">
      <c r="A326">
        <v>1325</v>
      </c>
      <c r="B326" s="2">
        <v>46139.873747494988</v>
      </c>
      <c r="C326" t="s">
        <v>37</v>
      </c>
      <c r="D326" t="s">
        <v>44</v>
      </c>
      <c r="E326" t="s">
        <v>23</v>
      </c>
      <c r="F326" t="s">
        <v>24</v>
      </c>
      <c r="G326">
        <v>1</v>
      </c>
      <c r="H326">
        <v>14000</v>
      </c>
      <c r="I326">
        <v>14000</v>
      </c>
      <c r="J326" t="s">
        <v>31</v>
      </c>
      <c r="K326">
        <v>5</v>
      </c>
    </row>
    <row r="327" spans="1:11" x14ac:dyDescent="0.3">
      <c r="A327">
        <v>1326</v>
      </c>
      <c r="B327" s="2">
        <v>46140.234468937873</v>
      </c>
      <c r="C327" t="s">
        <v>47</v>
      </c>
      <c r="D327" t="s">
        <v>22</v>
      </c>
      <c r="E327" t="s">
        <v>13</v>
      </c>
      <c r="F327" t="s">
        <v>14</v>
      </c>
      <c r="G327">
        <v>3</v>
      </c>
      <c r="H327">
        <v>2000</v>
      </c>
      <c r="I327">
        <v>6000</v>
      </c>
      <c r="J327" t="s">
        <v>45</v>
      </c>
      <c r="K327">
        <v>4</v>
      </c>
    </row>
    <row r="328" spans="1:11" x14ac:dyDescent="0.3">
      <c r="A328">
        <v>1327</v>
      </c>
      <c r="B328" s="2">
        <v>46140.595190380751</v>
      </c>
      <c r="C328" t="s">
        <v>36</v>
      </c>
      <c r="D328" t="s">
        <v>12</v>
      </c>
      <c r="E328" t="s">
        <v>23</v>
      </c>
      <c r="F328" t="s">
        <v>24</v>
      </c>
      <c r="G328">
        <v>1</v>
      </c>
      <c r="H328">
        <v>14500</v>
      </c>
      <c r="I328">
        <v>14500</v>
      </c>
      <c r="J328" t="s">
        <v>15</v>
      </c>
      <c r="K328">
        <v>5</v>
      </c>
    </row>
    <row r="329" spans="1:11" x14ac:dyDescent="0.3">
      <c r="A329">
        <v>1328</v>
      </c>
      <c r="B329" s="2">
        <v>46140.955911823643</v>
      </c>
      <c r="C329" t="s">
        <v>41</v>
      </c>
      <c r="D329" t="s">
        <v>22</v>
      </c>
      <c r="E329" t="s">
        <v>33</v>
      </c>
      <c r="F329" t="s">
        <v>14</v>
      </c>
      <c r="G329">
        <v>1</v>
      </c>
      <c r="H329">
        <v>2000</v>
      </c>
      <c r="I329">
        <v>2000</v>
      </c>
      <c r="J329" t="s">
        <v>15</v>
      </c>
      <c r="K329">
        <v>5</v>
      </c>
    </row>
    <row r="330" spans="1:11" x14ac:dyDescent="0.3">
      <c r="A330">
        <v>1329</v>
      </c>
      <c r="B330" s="2">
        <v>46141.316633266528</v>
      </c>
      <c r="C330" t="s">
        <v>28</v>
      </c>
      <c r="D330" t="s">
        <v>17</v>
      </c>
      <c r="E330" t="s">
        <v>43</v>
      </c>
      <c r="F330" t="s">
        <v>14</v>
      </c>
      <c r="G330">
        <v>1</v>
      </c>
      <c r="H330">
        <v>1300</v>
      </c>
      <c r="I330">
        <v>1300</v>
      </c>
      <c r="J330" t="s">
        <v>20</v>
      </c>
      <c r="K330">
        <v>3</v>
      </c>
    </row>
    <row r="331" spans="1:11" x14ac:dyDescent="0.3">
      <c r="A331">
        <v>1330</v>
      </c>
      <c r="B331" s="2">
        <v>46141.677354709413</v>
      </c>
      <c r="C331" t="s">
        <v>21</v>
      </c>
      <c r="D331" t="s">
        <v>17</v>
      </c>
      <c r="E331" t="s">
        <v>39</v>
      </c>
      <c r="F331" t="s">
        <v>19</v>
      </c>
      <c r="G331">
        <v>5</v>
      </c>
      <c r="H331">
        <v>25500</v>
      </c>
      <c r="I331">
        <v>127500</v>
      </c>
      <c r="J331" t="s">
        <v>15</v>
      </c>
      <c r="K331">
        <v>4</v>
      </c>
    </row>
    <row r="332" spans="1:11" x14ac:dyDescent="0.3">
      <c r="A332">
        <v>1331</v>
      </c>
      <c r="B332" s="2">
        <v>46142.038076152297</v>
      </c>
      <c r="C332" t="s">
        <v>50</v>
      </c>
      <c r="D332" t="s">
        <v>44</v>
      </c>
      <c r="E332" t="s">
        <v>18</v>
      </c>
      <c r="F332" t="s">
        <v>19</v>
      </c>
      <c r="G332">
        <v>3</v>
      </c>
      <c r="H332">
        <v>22000</v>
      </c>
      <c r="I332">
        <v>66000</v>
      </c>
      <c r="J332" t="s">
        <v>15</v>
      </c>
      <c r="K332">
        <v>3</v>
      </c>
    </row>
    <row r="333" spans="1:11" x14ac:dyDescent="0.3">
      <c r="A333">
        <v>1332</v>
      </c>
      <c r="B333" s="2">
        <v>46142.398797595182</v>
      </c>
      <c r="C333" t="s">
        <v>47</v>
      </c>
      <c r="D333" t="s">
        <v>12</v>
      </c>
      <c r="E333" t="s">
        <v>39</v>
      </c>
      <c r="F333" t="s">
        <v>19</v>
      </c>
      <c r="G333">
        <v>1</v>
      </c>
      <c r="H333">
        <v>25500</v>
      </c>
      <c r="I333">
        <v>25500</v>
      </c>
      <c r="J333" t="s">
        <v>45</v>
      </c>
      <c r="K333">
        <v>5</v>
      </c>
    </row>
    <row r="334" spans="1:11" x14ac:dyDescent="0.3">
      <c r="A334">
        <v>1333</v>
      </c>
      <c r="B334" s="2">
        <v>46142.759519038067</v>
      </c>
      <c r="C334" t="s">
        <v>46</v>
      </c>
      <c r="D334" t="s">
        <v>26</v>
      </c>
      <c r="E334" t="s">
        <v>29</v>
      </c>
      <c r="F334" t="s">
        <v>19</v>
      </c>
      <c r="G334">
        <v>1</v>
      </c>
      <c r="H334">
        <v>12000</v>
      </c>
      <c r="I334">
        <v>12000</v>
      </c>
      <c r="J334" t="s">
        <v>20</v>
      </c>
      <c r="K334">
        <v>5</v>
      </c>
    </row>
    <row r="335" spans="1:11" x14ac:dyDescent="0.3">
      <c r="A335">
        <v>1334</v>
      </c>
      <c r="B335" s="2">
        <v>46143.120240480959</v>
      </c>
      <c r="C335" t="s">
        <v>37</v>
      </c>
      <c r="D335" t="s">
        <v>17</v>
      </c>
      <c r="E335" t="s">
        <v>27</v>
      </c>
      <c r="F335" t="s">
        <v>19</v>
      </c>
      <c r="G335">
        <v>2</v>
      </c>
      <c r="H335">
        <v>55000</v>
      </c>
      <c r="I335">
        <v>110000</v>
      </c>
      <c r="J335" t="s">
        <v>31</v>
      </c>
      <c r="K335">
        <v>4</v>
      </c>
    </row>
    <row r="336" spans="1:11" x14ac:dyDescent="0.3">
      <c r="A336">
        <v>1335</v>
      </c>
      <c r="B336" s="2">
        <v>46143.480961923837</v>
      </c>
      <c r="C336" t="s">
        <v>41</v>
      </c>
      <c r="D336" t="s">
        <v>17</v>
      </c>
      <c r="E336" t="s">
        <v>29</v>
      </c>
      <c r="F336" t="s">
        <v>19</v>
      </c>
      <c r="G336">
        <v>5</v>
      </c>
      <c r="H336">
        <v>11500</v>
      </c>
      <c r="I336">
        <v>57500</v>
      </c>
      <c r="J336" t="s">
        <v>20</v>
      </c>
      <c r="K336">
        <v>4</v>
      </c>
    </row>
    <row r="337" spans="1:11" x14ac:dyDescent="0.3">
      <c r="A337">
        <v>1336</v>
      </c>
      <c r="B337" s="2">
        <v>46143.841683366722</v>
      </c>
      <c r="C337" t="s">
        <v>35</v>
      </c>
      <c r="D337" t="s">
        <v>17</v>
      </c>
      <c r="E337" t="s">
        <v>13</v>
      </c>
      <c r="F337" t="s">
        <v>14</v>
      </c>
      <c r="G337">
        <v>1</v>
      </c>
      <c r="H337">
        <v>1500</v>
      </c>
      <c r="I337">
        <v>1500</v>
      </c>
      <c r="J337" t="s">
        <v>20</v>
      </c>
      <c r="K337">
        <v>5</v>
      </c>
    </row>
    <row r="338" spans="1:11" x14ac:dyDescent="0.3">
      <c r="A338">
        <v>1337</v>
      </c>
      <c r="B338" s="2">
        <v>46144.202404809621</v>
      </c>
      <c r="C338" t="s">
        <v>34</v>
      </c>
      <c r="D338" t="s">
        <v>38</v>
      </c>
      <c r="E338" t="s">
        <v>39</v>
      </c>
      <c r="F338" t="s">
        <v>19</v>
      </c>
      <c r="G338">
        <v>3</v>
      </c>
      <c r="H338">
        <v>25000</v>
      </c>
      <c r="I338">
        <v>75000</v>
      </c>
      <c r="J338" t="s">
        <v>20</v>
      </c>
      <c r="K338">
        <v>5</v>
      </c>
    </row>
    <row r="339" spans="1:11" x14ac:dyDescent="0.3">
      <c r="A339">
        <v>1338</v>
      </c>
      <c r="B339" s="2">
        <v>46144.563126252498</v>
      </c>
      <c r="C339" t="s">
        <v>51</v>
      </c>
      <c r="D339" t="s">
        <v>26</v>
      </c>
      <c r="E339" t="s">
        <v>29</v>
      </c>
      <c r="F339" t="s">
        <v>19</v>
      </c>
      <c r="G339">
        <v>1</v>
      </c>
      <c r="H339">
        <v>12000</v>
      </c>
      <c r="I339">
        <v>12000</v>
      </c>
      <c r="J339" t="s">
        <v>20</v>
      </c>
      <c r="K339">
        <v>4</v>
      </c>
    </row>
    <row r="340" spans="1:11" x14ac:dyDescent="0.3">
      <c r="A340">
        <v>1339</v>
      </c>
      <c r="B340" s="2">
        <v>46144.923847695383</v>
      </c>
      <c r="C340" t="s">
        <v>30</v>
      </c>
      <c r="D340" t="s">
        <v>22</v>
      </c>
      <c r="E340" t="s">
        <v>13</v>
      </c>
      <c r="F340" t="s">
        <v>14</v>
      </c>
      <c r="G340">
        <v>5</v>
      </c>
      <c r="H340">
        <v>1500</v>
      </c>
      <c r="I340">
        <v>7500</v>
      </c>
      <c r="J340" t="s">
        <v>15</v>
      </c>
      <c r="K340">
        <v>5</v>
      </c>
    </row>
    <row r="341" spans="1:11" x14ac:dyDescent="0.3">
      <c r="A341">
        <v>1340</v>
      </c>
      <c r="B341" s="2">
        <v>46145.284569138283</v>
      </c>
      <c r="C341" t="s">
        <v>47</v>
      </c>
      <c r="D341" t="s">
        <v>26</v>
      </c>
      <c r="E341" t="s">
        <v>23</v>
      </c>
      <c r="F341" t="s">
        <v>24</v>
      </c>
      <c r="G341">
        <v>1</v>
      </c>
      <c r="H341">
        <v>14000</v>
      </c>
      <c r="I341">
        <v>14000</v>
      </c>
      <c r="J341" t="s">
        <v>20</v>
      </c>
      <c r="K341">
        <v>5</v>
      </c>
    </row>
    <row r="342" spans="1:11" x14ac:dyDescent="0.3">
      <c r="A342">
        <v>1341</v>
      </c>
      <c r="B342" s="2">
        <v>46145.64529058116</v>
      </c>
      <c r="C342" t="s">
        <v>28</v>
      </c>
      <c r="D342" t="s">
        <v>38</v>
      </c>
      <c r="E342" t="s">
        <v>18</v>
      </c>
      <c r="F342" t="s">
        <v>19</v>
      </c>
      <c r="G342">
        <v>1</v>
      </c>
      <c r="H342">
        <v>22500</v>
      </c>
      <c r="I342">
        <v>22500</v>
      </c>
      <c r="J342" t="s">
        <v>31</v>
      </c>
      <c r="K342">
        <v>4</v>
      </c>
    </row>
    <row r="343" spans="1:11" x14ac:dyDescent="0.3">
      <c r="A343">
        <v>1342</v>
      </c>
      <c r="B343" s="2">
        <v>46146.006012024038</v>
      </c>
      <c r="C343" t="s">
        <v>32</v>
      </c>
      <c r="D343" t="s">
        <v>22</v>
      </c>
      <c r="E343" t="s">
        <v>29</v>
      </c>
      <c r="F343" t="s">
        <v>19</v>
      </c>
      <c r="G343">
        <v>1</v>
      </c>
      <c r="H343">
        <v>12000</v>
      </c>
      <c r="I343">
        <v>12000</v>
      </c>
      <c r="J343" t="s">
        <v>15</v>
      </c>
      <c r="K343">
        <v>2</v>
      </c>
    </row>
    <row r="344" spans="1:11" x14ac:dyDescent="0.3">
      <c r="A344">
        <v>1343</v>
      </c>
      <c r="B344" s="2">
        <v>46146.36673346693</v>
      </c>
      <c r="C344" t="s">
        <v>41</v>
      </c>
      <c r="D344" t="s">
        <v>22</v>
      </c>
      <c r="E344" t="s">
        <v>33</v>
      </c>
      <c r="F344" t="s">
        <v>14</v>
      </c>
      <c r="G344">
        <v>1</v>
      </c>
      <c r="H344">
        <v>2500</v>
      </c>
      <c r="I344">
        <v>2500</v>
      </c>
      <c r="J344" t="s">
        <v>15</v>
      </c>
      <c r="K344">
        <v>5</v>
      </c>
    </row>
    <row r="345" spans="1:11" x14ac:dyDescent="0.3">
      <c r="A345">
        <v>1344</v>
      </c>
      <c r="B345" s="2">
        <v>46146.727454909807</v>
      </c>
      <c r="C345" t="s">
        <v>28</v>
      </c>
      <c r="D345" t="s">
        <v>44</v>
      </c>
      <c r="E345" t="s">
        <v>27</v>
      </c>
      <c r="F345" t="s">
        <v>19</v>
      </c>
      <c r="G345">
        <v>4</v>
      </c>
      <c r="H345">
        <v>55000</v>
      </c>
      <c r="I345">
        <v>220000</v>
      </c>
      <c r="J345" t="s">
        <v>31</v>
      </c>
      <c r="K345">
        <v>5</v>
      </c>
    </row>
    <row r="346" spans="1:11" x14ac:dyDescent="0.3">
      <c r="A346">
        <v>1345</v>
      </c>
      <c r="B346" s="2">
        <v>46147.0881763527</v>
      </c>
      <c r="C346" t="s">
        <v>48</v>
      </c>
      <c r="D346" t="s">
        <v>26</v>
      </c>
      <c r="E346" t="s">
        <v>43</v>
      </c>
      <c r="F346" t="s">
        <v>14</v>
      </c>
      <c r="G346">
        <v>1</v>
      </c>
      <c r="H346">
        <v>800</v>
      </c>
      <c r="I346">
        <v>800</v>
      </c>
      <c r="J346" t="s">
        <v>31</v>
      </c>
      <c r="K346">
        <v>4</v>
      </c>
    </row>
    <row r="347" spans="1:11" x14ac:dyDescent="0.3">
      <c r="A347">
        <v>1346</v>
      </c>
      <c r="B347" s="2">
        <v>46147.448897795592</v>
      </c>
      <c r="C347" t="s">
        <v>50</v>
      </c>
      <c r="D347" t="s">
        <v>17</v>
      </c>
      <c r="E347" t="s">
        <v>39</v>
      </c>
      <c r="F347" t="s">
        <v>19</v>
      </c>
      <c r="G347">
        <v>2</v>
      </c>
      <c r="H347">
        <v>25000</v>
      </c>
      <c r="I347">
        <v>50000</v>
      </c>
      <c r="J347" t="s">
        <v>15</v>
      </c>
      <c r="K347">
        <v>4</v>
      </c>
    </row>
    <row r="348" spans="1:11" x14ac:dyDescent="0.3">
      <c r="A348">
        <v>1347</v>
      </c>
      <c r="B348" s="2">
        <v>46147.809619238469</v>
      </c>
      <c r="C348" t="s">
        <v>41</v>
      </c>
      <c r="D348" t="s">
        <v>22</v>
      </c>
      <c r="E348" t="s">
        <v>39</v>
      </c>
      <c r="F348" t="s">
        <v>19</v>
      </c>
      <c r="G348">
        <v>2</v>
      </c>
      <c r="H348">
        <v>24500</v>
      </c>
      <c r="I348">
        <v>49000</v>
      </c>
      <c r="J348" t="s">
        <v>15</v>
      </c>
      <c r="K348">
        <v>5</v>
      </c>
    </row>
    <row r="349" spans="1:11" x14ac:dyDescent="0.3">
      <c r="A349">
        <v>1348</v>
      </c>
      <c r="B349" s="2">
        <v>46148.170340681347</v>
      </c>
      <c r="C349" t="s">
        <v>21</v>
      </c>
      <c r="D349" t="s">
        <v>26</v>
      </c>
      <c r="E349" t="s">
        <v>27</v>
      </c>
      <c r="F349" t="s">
        <v>19</v>
      </c>
      <c r="G349">
        <v>2</v>
      </c>
      <c r="H349">
        <v>54500</v>
      </c>
      <c r="I349">
        <v>109000</v>
      </c>
      <c r="J349" t="s">
        <v>45</v>
      </c>
      <c r="K349">
        <v>5</v>
      </c>
    </row>
    <row r="350" spans="1:11" x14ac:dyDescent="0.3">
      <c r="A350">
        <v>1349</v>
      </c>
      <c r="B350" s="2">
        <v>46148.531062124253</v>
      </c>
      <c r="C350" t="s">
        <v>47</v>
      </c>
      <c r="D350" t="s">
        <v>26</v>
      </c>
      <c r="E350" t="s">
        <v>18</v>
      </c>
      <c r="F350" t="s">
        <v>19</v>
      </c>
      <c r="G350">
        <v>1</v>
      </c>
      <c r="H350">
        <v>22000</v>
      </c>
      <c r="I350">
        <v>22000</v>
      </c>
      <c r="J350" t="s">
        <v>31</v>
      </c>
      <c r="K350">
        <v>5</v>
      </c>
    </row>
    <row r="351" spans="1:11" x14ac:dyDescent="0.3">
      <c r="A351">
        <v>1350</v>
      </c>
      <c r="B351" s="2">
        <v>46148.891783567131</v>
      </c>
      <c r="C351" t="s">
        <v>21</v>
      </c>
      <c r="D351" t="s">
        <v>44</v>
      </c>
      <c r="E351" t="s">
        <v>43</v>
      </c>
      <c r="F351" t="s">
        <v>14</v>
      </c>
      <c r="G351">
        <v>2</v>
      </c>
      <c r="H351">
        <v>800</v>
      </c>
      <c r="I351">
        <v>1600</v>
      </c>
      <c r="J351" t="s">
        <v>20</v>
      </c>
      <c r="K351">
        <v>4</v>
      </c>
    </row>
    <row r="352" spans="1:11" x14ac:dyDescent="0.3">
      <c r="A352">
        <v>1351</v>
      </c>
      <c r="B352" s="2">
        <v>46149.252505010008</v>
      </c>
      <c r="C352" t="s">
        <v>37</v>
      </c>
      <c r="D352" t="s">
        <v>26</v>
      </c>
      <c r="E352" t="s">
        <v>43</v>
      </c>
      <c r="F352" t="s">
        <v>14</v>
      </c>
      <c r="G352">
        <v>1</v>
      </c>
      <c r="H352">
        <v>1300</v>
      </c>
      <c r="I352">
        <v>1300</v>
      </c>
      <c r="J352" t="s">
        <v>15</v>
      </c>
      <c r="K352">
        <v>4</v>
      </c>
    </row>
    <row r="353" spans="1:11" x14ac:dyDescent="0.3">
      <c r="A353">
        <v>1352</v>
      </c>
      <c r="B353" s="2">
        <v>46149.613226452908</v>
      </c>
      <c r="C353" t="s">
        <v>37</v>
      </c>
      <c r="D353" t="s">
        <v>38</v>
      </c>
      <c r="E353" t="s">
        <v>13</v>
      </c>
      <c r="F353" t="s">
        <v>14</v>
      </c>
      <c r="G353">
        <v>1</v>
      </c>
      <c r="H353">
        <v>1000</v>
      </c>
      <c r="I353">
        <v>1000</v>
      </c>
      <c r="J353" t="s">
        <v>15</v>
      </c>
      <c r="K353">
        <v>5</v>
      </c>
    </row>
    <row r="354" spans="1:11" x14ac:dyDescent="0.3">
      <c r="A354">
        <v>1353</v>
      </c>
      <c r="B354" s="2">
        <v>46149.973947895793</v>
      </c>
      <c r="C354" t="s">
        <v>41</v>
      </c>
      <c r="D354" t="s">
        <v>44</v>
      </c>
      <c r="E354" t="s">
        <v>13</v>
      </c>
      <c r="F354" t="s">
        <v>14</v>
      </c>
      <c r="G354">
        <v>2</v>
      </c>
      <c r="H354">
        <v>1500</v>
      </c>
      <c r="I354">
        <v>3000</v>
      </c>
      <c r="J354" t="s">
        <v>31</v>
      </c>
      <c r="K354">
        <v>5</v>
      </c>
    </row>
    <row r="355" spans="1:11" x14ac:dyDescent="0.3">
      <c r="A355">
        <v>1354</v>
      </c>
      <c r="B355" s="2">
        <v>46150.33466933867</v>
      </c>
      <c r="C355" t="s">
        <v>37</v>
      </c>
      <c r="D355" t="s">
        <v>38</v>
      </c>
      <c r="E355" t="s">
        <v>29</v>
      </c>
      <c r="F355" t="s">
        <v>19</v>
      </c>
      <c r="G355">
        <v>3</v>
      </c>
      <c r="H355">
        <v>11500</v>
      </c>
      <c r="I355">
        <v>34500</v>
      </c>
      <c r="J355" t="s">
        <v>45</v>
      </c>
      <c r="K355">
        <v>4</v>
      </c>
    </row>
    <row r="356" spans="1:11" x14ac:dyDescent="0.3">
      <c r="A356">
        <v>1355</v>
      </c>
      <c r="B356" s="2">
        <v>46150.695390781562</v>
      </c>
      <c r="C356" t="s">
        <v>42</v>
      </c>
      <c r="D356" t="s">
        <v>38</v>
      </c>
      <c r="E356" t="s">
        <v>33</v>
      </c>
      <c r="F356" t="s">
        <v>14</v>
      </c>
      <c r="G356">
        <v>1</v>
      </c>
      <c r="H356">
        <v>2500</v>
      </c>
      <c r="I356">
        <v>2500</v>
      </c>
      <c r="J356" t="s">
        <v>15</v>
      </c>
      <c r="K356">
        <v>4</v>
      </c>
    </row>
    <row r="357" spans="1:11" x14ac:dyDescent="0.3">
      <c r="A357">
        <v>1356</v>
      </c>
      <c r="B357" s="2">
        <v>46151.056112224447</v>
      </c>
      <c r="C357" t="s">
        <v>47</v>
      </c>
      <c r="D357" t="s">
        <v>38</v>
      </c>
      <c r="E357" t="s">
        <v>18</v>
      </c>
      <c r="F357" t="s">
        <v>19</v>
      </c>
      <c r="G357">
        <v>1</v>
      </c>
      <c r="H357">
        <v>22000</v>
      </c>
      <c r="I357">
        <v>22000</v>
      </c>
      <c r="J357" t="s">
        <v>31</v>
      </c>
      <c r="K357">
        <v>5</v>
      </c>
    </row>
    <row r="358" spans="1:11" x14ac:dyDescent="0.3">
      <c r="A358">
        <v>1357</v>
      </c>
      <c r="B358" s="2">
        <v>46151.416833667317</v>
      </c>
      <c r="C358" t="s">
        <v>36</v>
      </c>
      <c r="D358" t="s">
        <v>26</v>
      </c>
      <c r="E358" t="s">
        <v>33</v>
      </c>
      <c r="F358" t="s">
        <v>14</v>
      </c>
      <c r="G358">
        <v>2</v>
      </c>
      <c r="H358">
        <v>3000</v>
      </c>
      <c r="I358">
        <v>6000</v>
      </c>
      <c r="J358" t="s">
        <v>15</v>
      </c>
      <c r="K358">
        <v>4</v>
      </c>
    </row>
    <row r="359" spans="1:11" x14ac:dyDescent="0.3">
      <c r="A359">
        <v>1358</v>
      </c>
      <c r="B359" s="2">
        <v>46151.777555110217</v>
      </c>
      <c r="C359" t="s">
        <v>36</v>
      </c>
      <c r="D359" t="s">
        <v>17</v>
      </c>
      <c r="E359" t="s">
        <v>39</v>
      </c>
      <c r="F359" t="s">
        <v>19</v>
      </c>
      <c r="G359">
        <v>3</v>
      </c>
      <c r="H359">
        <v>25000</v>
      </c>
      <c r="I359">
        <v>75000</v>
      </c>
      <c r="J359" t="s">
        <v>31</v>
      </c>
      <c r="K359">
        <v>4</v>
      </c>
    </row>
    <row r="360" spans="1:11" x14ac:dyDescent="0.3">
      <c r="A360">
        <v>1359</v>
      </c>
      <c r="B360" s="2">
        <v>46152.138276553102</v>
      </c>
      <c r="C360" t="s">
        <v>35</v>
      </c>
      <c r="D360" t="s">
        <v>26</v>
      </c>
      <c r="E360" t="s">
        <v>39</v>
      </c>
      <c r="F360" t="s">
        <v>19</v>
      </c>
      <c r="G360">
        <v>4</v>
      </c>
      <c r="H360">
        <v>25000</v>
      </c>
      <c r="I360">
        <v>100000</v>
      </c>
      <c r="J360" t="s">
        <v>15</v>
      </c>
      <c r="K360">
        <v>3</v>
      </c>
    </row>
    <row r="361" spans="1:11" x14ac:dyDescent="0.3">
      <c r="A361">
        <v>1360</v>
      </c>
      <c r="B361" s="2">
        <v>46152.498997995986</v>
      </c>
      <c r="C361" t="s">
        <v>49</v>
      </c>
      <c r="D361" t="s">
        <v>17</v>
      </c>
      <c r="E361" t="s">
        <v>29</v>
      </c>
      <c r="F361" t="s">
        <v>19</v>
      </c>
      <c r="G361">
        <v>2</v>
      </c>
      <c r="H361">
        <v>12000</v>
      </c>
      <c r="I361">
        <v>24000</v>
      </c>
      <c r="J361" t="s">
        <v>15</v>
      </c>
      <c r="K361">
        <v>3</v>
      </c>
    </row>
    <row r="362" spans="1:11" x14ac:dyDescent="0.3">
      <c r="A362">
        <v>1361</v>
      </c>
      <c r="B362" s="2">
        <v>46152.859719438879</v>
      </c>
      <c r="C362" t="s">
        <v>47</v>
      </c>
      <c r="D362" t="s">
        <v>22</v>
      </c>
      <c r="E362" t="s">
        <v>13</v>
      </c>
      <c r="F362" t="s">
        <v>14</v>
      </c>
      <c r="G362">
        <v>2</v>
      </c>
      <c r="H362">
        <v>1000</v>
      </c>
      <c r="I362">
        <v>2000</v>
      </c>
      <c r="J362" t="s">
        <v>20</v>
      </c>
      <c r="K362">
        <v>5</v>
      </c>
    </row>
    <row r="363" spans="1:11" x14ac:dyDescent="0.3">
      <c r="A363">
        <v>1362</v>
      </c>
      <c r="B363" s="2">
        <v>46153.220440881763</v>
      </c>
      <c r="C363" t="s">
        <v>42</v>
      </c>
      <c r="D363" t="s">
        <v>26</v>
      </c>
      <c r="E363" t="s">
        <v>39</v>
      </c>
      <c r="F363" t="s">
        <v>19</v>
      </c>
      <c r="G363">
        <v>1</v>
      </c>
      <c r="H363">
        <v>25000</v>
      </c>
      <c r="I363">
        <v>25000</v>
      </c>
      <c r="J363" t="s">
        <v>31</v>
      </c>
      <c r="K363">
        <v>5</v>
      </c>
    </row>
    <row r="364" spans="1:11" x14ac:dyDescent="0.3">
      <c r="A364">
        <v>1363</v>
      </c>
      <c r="B364" s="2">
        <v>46153.581162324641</v>
      </c>
      <c r="C364" t="s">
        <v>16</v>
      </c>
      <c r="D364" t="s">
        <v>44</v>
      </c>
      <c r="E364" t="s">
        <v>29</v>
      </c>
      <c r="F364" t="s">
        <v>19</v>
      </c>
      <c r="G364">
        <v>3</v>
      </c>
      <c r="H364">
        <v>12000</v>
      </c>
      <c r="I364">
        <v>36000</v>
      </c>
      <c r="J364" t="s">
        <v>15</v>
      </c>
      <c r="K364">
        <v>4</v>
      </c>
    </row>
    <row r="365" spans="1:11" x14ac:dyDescent="0.3">
      <c r="A365">
        <v>1364</v>
      </c>
      <c r="B365" s="2">
        <v>46153.941883767533</v>
      </c>
      <c r="C365" t="s">
        <v>41</v>
      </c>
      <c r="D365" t="s">
        <v>38</v>
      </c>
      <c r="E365" t="s">
        <v>27</v>
      </c>
      <c r="F365" t="s">
        <v>19</v>
      </c>
      <c r="G365">
        <v>1</v>
      </c>
      <c r="H365">
        <v>55000</v>
      </c>
      <c r="I365">
        <v>55000</v>
      </c>
      <c r="J365" t="s">
        <v>31</v>
      </c>
      <c r="K365">
        <v>5</v>
      </c>
    </row>
    <row r="366" spans="1:11" x14ac:dyDescent="0.3">
      <c r="A366">
        <v>1365</v>
      </c>
      <c r="B366" s="2">
        <v>46154.302605210418</v>
      </c>
      <c r="C366" t="s">
        <v>51</v>
      </c>
      <c r="D366" t="s">
        <v>17</v>
      </c>
      <c r="E366" t="s">
        <v>27</v>
      </c>
      <c r="F366" t="s">
        <v>19</v>
      </c>
      <c r="G366">
        <v>1</v>
      </c>
      <c r="H366">
        <v>55000</v>
      </c>
      <c r="I366">
        <v>55000</v>
      </c>
      <c r="J366" t="s">
        <v>15</v>
      </c>
      <c r="K366">
        <v>5</v>
      </c>
    </row>
    <row r="367" spans="1:11" x14ac:dyDescent="0.3">
      <c r="A367">
        <v>1366</v>
      </c>
      <c r="B367" s="2">
        <v>46154.663326653303</v>
      </c>
      <c r="C367" t="s">
        <v>51</v>
      </c>
      <c r="D367" t="s">
        <v>12</v>
      </c>
      <c r="E367" t="s">
        <v>13</v>
      </c>
      <c r="F367" t="s">
        <v>14</v>
      </c>
      <c r="G367">
        <v>1</v>
      </c>
      <c r="H367">
        <v>1500</v>
      </c>
      <c r="I367">
        <v>1500</v>
      </c>
      <c r="J367" t="s">
        <v>31</v>
      </c>
      <c r="K367">
        <v>4</v>
      </c>
    </row>
    <row r="368" spans="1:11" x14ac:dyDescent="0.3">
      <c r="A368">
        <v>1367</v>
      </c>
      <c r="B368" s="2">
        <v>46155.024048096187</v>
      </c>
      <c r="C368" t="s">
        <v>28</v>
      </c>
      <c r="D368" t="s">
        <v>38</v>
      </c>
      <c r="E368" t="s">
        <v>13</v>
      </c>
      <c r="F368" t="s">
        <v>14</v>
      </c>
      <c r="G368">
        <v>1</v>
      </c>
      <c r="H368">
        <v>1500</v>
      </c>
      <c r="I368">
        <v>1500</v>
      </c>
      <c r="J368" t="s">
        <v>31</v>
      </c>
      <c r="K368">
        <v>4</v>
      </c>
    </row>
    <row r="369" spans="1:11" x14ac:dyDescent="0.3">
      <c r="A369">
        <v>1368</v>
      </c>
      <c r="B369" s="2">
        <v>46155.384769539072</v>
      </c>
      <c r="C369" t="s">
        <v>11</v>
      </c>
      <c r="D369" t="s">
        <v>12</v>
      </c>
      <c r="E369" t="s">
        <v>29</v>
      </c>
      <c r="F369" t="s">
        <v>19</v>
      </c>
      <c r="G369">
        <v>2</v>
      </c>
      <c r="H369">
        <v>12000</v>
      </c>
      <c r="I369">
        <v>24000</v>
      </c>
      <c r="J369" t="s">
        <v>15</v>
      </c>
      <c r="K369">
        <v>4</v>
      </c>
    </row>
    <row r="370" spans="1:11" x14ac:dyDescent="0.3">
      <c r="A370">
        <v>1369</v>
      </c>
      <c r="B370" s="2">
        <v>46155.745490981957</v>
      </c>
      <c r="C370" t="s">
        <v>30</v>
      </c>
      <c r="D370" t="s">
        <v>38</v>
      </c>
      <c r="E370" t="s">
        <v>27</v>
      </c>
      <c r="F370" t="s">
        <v>19</v>
      </c>
      <c r="G370">
        <v>3</v>
      </c>
      <c r="H370">
        <v>55000</v>
      </c>
      <c r="I370">
        <v>165000</v>
      </c>
      <c r="J370" t="s">
        <v>15</v>
      </c>
      <c r="K370">
        <v>5</v>
      </c>
    </row>
    <row r="371" spans="1:11" x14ac:dyDescent="0.3">
      <c r="A371">
        <v>1370</v>
      </c>
      <c r="B371" s="2">
        <v>46156.106212424849</v>
      </c>
      <c r="C371" t="s">
        <v>46</v>
      </c>
      <c r="D371" t="s">
        <v>22</v>
      </c>
      <c r="E371" t="s">
        <v>29</v>
      </c>
      <c r="F371" t="s">
        <v>19</v>
      </c>
      <c r="G371">
        <v>1</v>
      </c>
      <c r="H371">
        <v>11500</v>
      </c>
      <c r="I371">
        <v>11500</v>
      </c>
      <c r="J371" t="s">
        <v>15</v>
      </c>
      <c r="K371">
        <v>5</v>
      </c>
    </row>
    <row r="372" spans="1:11" x14ac:dyDescent="0.3">
      <c r="A372">
        <v>1371</v>
      </c>
      <c r="B372" s="2">
        <v>46156.466933867727</v>
      </c>
      <c r="C372" t="s">
        <v>51</v>
      </c>
      <c r="D372" t="s">
        <v>22</v>
      </c>
      <c r="E372" t="s">
        <v>29</v>
      </c>
      <c r="F372" t="s">
        <v>19</v>
      </c>
      <c r="G372">
        <v>3</v>
      </c>
      <c r="H372">
        <v>12000</v>
      </c>
      <c r="I372">
        <v>36000</v>
      </c>
      <c r="J372" t="s">
        <v>15</v>
      </c>
      <c r="K372">
        <v>4</v>
      </c>
    </row>
    <row r="373" spans="1:11" x14ac:dyDescent="0.3">
      <c r="A373">
        <v>1372</v>
      </c>
      <c r="B373" s="2">
        <v>46156.827655310612</v>
      </c>
      <c r="C373" t="s">
        <v>41</v>
      </c>
      <c r="D373" t="s">
        <v>38</v>
      </c>
      <c r="E373" t="s">
        <v>23</v>
      </c>
      <c r="F373" t="s">
        <v>24</v>
      </c>
      <c r="G373">
        <v>1</v>
      </c>
      <c r="H373">
        <v>14500</v>
      </c>
      <c r="I373">
        <v>14500</v>
      </c>
      <c r="J373" t="s">
        <v>15</v>
      </c>
      <c r="K373">
        <v>3</v>
      </c>
    </row>
    <row r="374" spans="1:11" x14ac:dyDescent="0.3">
      <c r="A374">
        <v>1373</v>
      </c>
      <c r="B374" s="2">
        <v>46157.188376753496</v>
      </c>
      <c r="C374" t="s">
        <v>47</v>
      </c>
      <c r="D374" t="s">
        <v>12</v>
      </c>
      <c r="E374" t="s">
        <v>43</v>
      </c>
      <c r="F374" t="s">
        <v>14</v>
      </c>
      <c r="G374">
        <v>4</v>
      </c>
      <c r="H374">
        <v>800</v>
      </c>
      <c r="I374">
        <v>3200</v>
      </c>
      <c r="J374" t="s">
        <v>15</v>
      </c>
      <c r="K374">
        <v>3</v>
      </c>
    </row>
    <row r="375" spans="1:11" x14ac:dyDescent="0.3">
      <c r="A375">
        <v>1374</v>
      </c>
      <c r="B375" s="2">
        <v>46157.549098196389</v>
      </c>
      <c r="C375" t="s">
        <v>40</v>
      </c>
      <c r="D375" t="s">
        <v>12</v>
      </c>
      <c r="E375" t="s">
        <v>33</v>
      </c>
      <c r="F375" t="s">
        <v>14</v>
      </c>
      <c r="G375">
        <v>1</v>
      </c>
      <c r="H375">
        <v>2500</v>
      </c>
      <c r="I375">
        <v>2500</v>
      </c>
      <c r="J375" t="s">
        <v>15</v>
      </c>
      <c r="K375">
        <v>4</v>
      </c>
    </row>
    <row r="376" spans="1:11" x14ac:dyDescent="0.3">
      <c r="A376">
        <v>1375</v>
      </c>
      <c r="B376" s="2">
        <v>46157.909819639273</v>
      </c>
      <c r="C376" t="s">
        <v>36</v>
      </c>
      <c r="D376" t="s">
        <v>38</v>
      </c>
      <c r="E376" t="s">
        <v>33</v>
      </c>
      <c r="F376" t="s">
        <v>14</v>
      </c>
      <c r="G376">
        <v>5</v>
      </c>
      <c r="H376">
        <v>2500</v>
      </c>
      <c r="I376">
        <v>12500</v>
      </c>
      <c r="J376" t="s">
        <v>20</v>
      </c>
      <c r="K376">
        <v>4</v>
      </c>
    </row>
    <row r="377" spans="1:11" x14ac:dyDescent="0.3">
      <c r="A377">
        <v>1376</v>
      </c>
      <c r="B377" s="2">
        <v>46158.270541082151</v>
      </c>
      <c r="C377" t="s">
        <v>40</v>
      </c>
      <c r="D377" t="s">
        <v>22</v>
      </c>
      <c r="E377" t="s">
        <v>13</v>
      </c>
      <c r="F377" t="s">
        <v>14</v>
      </c>
      <c r="G377">
        <v>1</v>
      </c>
      <c r="H377">
        <v>1500</v>
      </c>
      <c r="I377">
        <v>1500</v>
      </c>
      <c r="J377" t="s">
        <v>31</v>
      </c>
      <c r="K377">
        <v>4</v>
      </c>
    </row>
    <row r="378" spans="1:11" x14ac:dyDescent="0.3">
      <c r="A378">
        <v>1377</v>
      </c>
      <c r="B378" s="2">
        <v>46158.631262525043</v>
      </c>
      <c r="C378" t="s">
        <v>42</v>
      </c>
      <c r="D378" t="s">
        <v>12</v>
      </c>
      <c r="E378" t="s">
        <v>39</v>
      </c>
      <c r="F378" t="s">
        <v>19</v>
      </c>
      <c r="G378">
        <v>3</v>
      </c>
      <c r="H378">
        <v>25000</v>
      </c>
      <c r="I378">
        <v>75000</v>
      </c>
      <c r="J378" t="s">
        <v>15</v>
      </c>
      <c r="K378">
        <v>4</v>
      </c>
    </row>
    <row r="379" spans="1:11" x14ac:dyDescent="0.3">
      <c r="A379">
        <v>1378</v>
      </c>
      <c r="B379" s="2">
        <v>46158.991983967928</v>
      </c>
      <c r="C379" t="s">
        <v>21</v>
      </c>
      <c r="D379" t="s">
        <v>38</v>
      </c>
      <c r="E379" t="s">
        <v>27</v>
      </c>
      <c r="F379" t="s">
        <v>19</v>
      </c>
      <c r="G379">
        <v>1</v>
      </c>
      <c r="H379">
        <v>55000</v>
      </c>
      <c r="I379">
        <v>55000</v>
      </c>
      <c r="J379" t="s">
        <v>31</v>
      </c>
      <c r="K379">
        <v>4</v>
      </c>
    </row>
    <row r="380" spans="1:11" x14ac:dyDescent="0.3">
      <c r="A380">
        <v>1379</v>
      </c>
      <c r="B380" s="2">
        <v>46159.352705410813</v>
      </c>
      <c r="C380" t="s">
        <v>25</v>
      </c>
      <c r="D380" t="s">
        <v>12</v>
      </c>
      <c r="E380" t="s">
        <v>29</v>
      </c>
      <c r="F380" t="s">
        <v>19</v>
      </c>
      <c r="G380">
        <v>1</v>
      </c>
      <c r="H380">
        <v>12000</v>
      </c>
      <c r="I380">
        <v>12000</v>
      </c>
      <c r="J380" t="s">
        <v>31</v>
      </c>
      <c r="K380">
        <v>4</v>
      </c>
    </row>
    <row r="381" spans="1:11" x14ac:dyDescent="0.3">
      <c r="A381">
        <v>1380</v>
      </c>
      <c r="B381" s="2">
        <v>46159.713426853697</v>
      </c>
      <c r="C381" t="s">
        <v>47</v>
      </c>
      <c r="D381" t="s">
        <v>44</v>
      </c>
      <c r="E381" t="s">
        <v>23</v>
      </c>
      <c r="F381" t="s">
        <v>24</v>
      </c>
      <c r="G381">
        <v>3</v>
      </c>
      <c r="H381">
        <v>14000</v>
      </c>
      <c r="I381">
        <v>42000</v>
      </c>
      <c r="J381" t="s">
        <v>31</v>
      </c>
      <c r="K381">
        <v>3</v>
      </c>
    </row>
    <row r="382" spans="1:11" x14ac:dyDescent="0.3">
      <c r="A382">
        <v>1381</v>
      </c>
      <c r="B382" s="2">
        <v>46160.074148296582</v>
      </c>
      <c r="C382" t="s">
        <v>16</v>
      </c>
      <c r="D382" t="s">
        <v>38</v>
      </c>
      <c r="E382" t="s">
        <v>18</v>
      </c>
      <c r="F382" t="s">
        <v>19</v>
      </c>
      <c r="G382">
        <v>2</v>
      </c>
      <c r="H382">
        <v>22500</v>
      </c>
      <c r="I382">
        <v>45000</v>
      </c>
      <c r="J382" t="s">
        <v>15</v>
      </c>
      <c r="K382">
        <v>4</v>
      </c>
    </row>
    <row r="383" spans="1:11" x14ac:dyDescent="0.3">
      <c r="A383">
        <v>1382</v>
      </c>
      <c r="B383" s="2">
        <v>46160.434869739467</v>
      </c>
      <c r="C383" t="s">
        <v>40</v>
      </c>
      <c r="D383" t="s">
        <v>22</v>
      </c>
      <c r="E383" t="s">
        <v>27</v>
      </c>
      <c r="F383" t="s">
        <v>19</v>
      </c>
      <c r="G383">
        <v>2</v>
      </c>
      <c r="H383">
        <v>55000</v>
      </c>
      <c r="I383">
        <v>110000</v>
      </c>
      <c r="J383" t="s">
        <v>31</v>
      </c>
      <c r="K383">
        <v>4</v>
      </c>
    </row>
    <row r="384" spans="1:11" x14ac:dyDescent="0.3">
      <c r="A384">
        <v>1383</v>
      </c>
      <c r="B384" s="2">
        <v>46160.795591182359</v>
      </c>
      <c r="C384" t="s">
        <v>50</v>
      </c>
      <c r="D384" t="s">
        <v>17</v>
      </c>
      <c r="E384" t="s">
        <v>27</v>
      </c>
      <c r="F384" t="s">
        <v>19</v>
      </c>
      <c r="G384">
        <v>4</v>
      </c>
      <c r="H384">
        <v>55500</v>
      </c>
      <c r="I384">
        <v>222000</v>
      </c>
      <c r="J384" t="s">
        <v>31</v>
      </c>
      <c r="K384">
        <v>5</v>
      </c>
    </row>
    <row r="385" spans="1:11" x14ac:dyDescent="0.3">
      <c r="A385">
        <v>1384</v>
      </c>
      <c r="B385" s="2">
        <v>46161.156312625237</v>
      </c>
      <c r="C385" t="s">
        <v>49</v>
      </c>
      <c r="D385" t="s">
        <v>26</v>
      </c>
      <c r="E385" t="s">
        <v>29</v>
      </c>
      <c r="F385" t="s">
        <v>19</v>
      </c>
      <c r="G385">
        <v>1</v>
      </c>
      <c r="H385">
        <v>12000</v>
      </c>
      <c r="I385">
        <v>12000</v>
      </c>
      <c r="J385" t="s">
        <v>45</v>
      </c>
      <c r="K385">
        <v>4</v>
      </c>
    </row>
    <row r="386" spans="1:11" x14ac:dyDescent="0.3">
      <c r="A386">
        <v>1385</v>
      </c>
      <c r="B386" s="2">
        <v>46161.517034068122</v>
      </c>
      <c r="C386" t="s">
        <v>47</v>
      </c>
      <c r="D386" t="s">
        <v>44</v>
      </c>
      <c r="E386" t="s">
        <v>33</v>
      </c>
      <c r="F386" t="s">
        <v>14</v>
      </c>
      <c r="G386">
        <v>2</v>
      </c>
      <c r="H386">
        <v>2500</v>
      </c>
      <c r="I386">
        <v>5000</v>
      </c>
      <c r="J386" t="s">
        <v>20</v>
      </c>
      <c r="K386">
        <v>4</v>
      </c>
    </row>
    <row r="387" spans="1:11" x14ac:dyDescent="0.3">
      <c r="A387">
        <v>1386</v>
      </c>
      <c r="B387" s="2">
        <v>46161.877755511021</v>
      </c>
      <c r="C387" t="s">
        <v>36</v>
      </c>
      <c r="D387" t="s">
        <v>38</v>
      </c>
      <c r="E387" t="s">
        <v>18</v>
      </c>
      <c r="F387" t="s">
        <v>19</v>
      </c>
      <c r="G387">
        <v>3</v>
      </c>
      <c r="H387">
        <v>22000</v>
      </c>
      <c r="I387">
        <v>66000</v>
      </c>
      <c r="J387" t="s">
        <v>15</v>
      </c>
      <c r="K387">
        <v>3</v>
      </c>
    </row>
    <row r="388" spans="1:11" x14ac:dyDescent="0.3">
      <c r="A388">
        <v>1387</v>
      </c>
      <c r="B388" s="2">
        <v>46162.238476953898</v>
      </c>
      <c r="C388" t="s">
        <v>37</v>
      </c>
      <c r="D388" t="s">
        <v>38</v>
      </c>
      <c r="E388" t="s">
        <v>18</v>
      </c>
      <c r="F388" t="s">
        <v>19</v>
      </c>
      <c r="G388">
        <v>1</v>
      </c>
      <c r="H388">
        <v>22000</v>
      </c>
      <c r="I388">
        <v>22000</v>
      </c>
      <c r="J388" t="s">
        <v>15</v>
      </c>
      <c r="K388">
        <v>4</v>
      </c>
    </row>
    <row r="389" spans="1:11" x14ac:dyDescent="0.3">
      <c r="A389">
        <v>1388</v>
      </c>
      <c r="B389" s="2">
        <v>46162.599198396783</v>
      </c>
      <c r="C389" t="s">
        <v>50</v>
      </c>
      <c r="D389" t="s">
        <v>12</v>
      </c>
      <c r="E389" t="s">
        <v>27</v>
      </c>
      <c r="F389" t="s">
        <v>19</v>
      </c>
      <c r="G389">
        <v>5</v>
      </c>
      <c r="H389">
        <v>55000</v>
      </c>
      <c r="I389">
        <v>275000</v>
      </c>
      <c r="J389" t="s">
        <v>31</v>
      </c>
      <c r="K389">
        <v>5</v>
      </c>
    </row>
    <row r="390" spans="1:11" x14ac:dyDescent="0.3">
      <c r="A390">
        <v>1389</v>
      </c>
      <c r="B390" s="2">
        <v>46162.959919839683</v>
      </c>
      <c r="C390" t="s">
        <v>50</v>
      </c>
      <c r="D390" t="s">
        <v>17</v>
      </c>
      <c r="E390" t="s">
        <v>39</v>
      </c>
      <c r="F390" t="s">
        <v>19</v>
      </c>
      <c r="G390">
        <v>2</v>
      </c>
      <c r="H390">
        <v>25000</v>
      </c>
      <c r="I390">
        <v>50000</v>
      </c>
      <c r="J390" t="s">
        <v>45</v>
      </c>
      <c r="K390">
        <v>4</v>
      </c>
    </row>
    <row r="391" spans="1:11" x14ac:dyDescent="0.3">
      <c r="A391">
        <v>1390</v>
      </c>
      <c r="B391" s="2">
        <v>46163.32064128256</v>
      </c>
      <c r="C391" t="s">
        <v>47</v>
      </c>
      <c r="D391" t="s">
        <v>12</v>
      </c>
      <c r="E391" t="s">
        <v>43</v>
      </c>
      <c r="F391" t="s">
        <v>14</v>
      </c>
      <c r="G391">
        <v>4</v>
      </c>
      <c r="H391">
        <v>300</v>
      </c>
      <c r="I391">
        <v>1200</v>
      </c>
      <c r="J391" t="s">
        <v>31</v>
      </c>
      <c r="K391">
        <v>5</v>
      </c>
    </row>
    <row r="392" spans="1:11" x14ac:dyDescent="0.3">
      <c r="A392">
        <v>1391</v>
      </c>
      <c r="B392" s="2">
        <v>46163.681362725438</v>
      </c>
      <c r="C392" t="s">
        <v>40</v>
      </c>
      <c r="D392" t="s">
        <v>22</v>
      </c>
      <c r="E392" t="s">
        <v>43</v>
      </c>
      <c r="F392" t="s">
        <v>14</v>
      </c>
      <c r="G392">
        <v>1</v>
      </c>
      <c r="H392">
        <v>800</v>
      </c>
      <c r="I392">
        <v>800</v>
      </c>
      <c r="J392" t="s">
        <v>15</v>
      </c>
      <c r="K392">
        <v>2</v>
      </c>
    </row>
    <row r="393" spans="1:11" x14ac:dyDescent="0.3">
      <c r="A393">
        <v>1392</v>
      </c>
      <c r="B393" s="2">
        <v>46164.04208416833</v>
      </c>
      <c r="C393" t="s">
        <v>49</v>
      </c>
      <c r="D393" t="s">
        <v>17</v>
      </c>
      <c r="E393" t="s">
        <v>23</v>
      </c>
      <c r="F393" t="s">
        <v>24</v>
      </c>
      <c r="G393">
        <v>3</v>
      </c>
      <c r="H393">
        <v>14000</v>
      </c>
      <c r="I393">
        <v>42000</v>
      </c>
      <c r="J393" t="s">
        <v>31</v>
      </c>
      <c r="K393">
        <v>3</v>
      </c>
    </row>
    <row r="394" spans="1:11" x14ac:dyDescent="0.3">
      <c r="A394">
        <v>1393</v>
      </c>
      <c r="B394" s="2">
        <v>46164.402805611207</v>
      </c>
      <c r="C394" t="s">
        <v>32</v>
      </c>
      <c r="D394" t="s">
        <v>26</v>
      </c>
      <c r="E394" t="s">
        <v>13</v>
      </c>
      <c r="F394" t="s">
        <v>14</v>
      </c>
      <c r="G394">
        <v>2</v>
      </c>
      <c r="H394">
        <v>1500</v>
      </c>
      <c r="I394">
        <v>3000</v>
      </c>
      <c r="J394" t="s">
        <v>15</v>
      </c>
      <c r="K394">
        <v>4</v>
      </c>
    </row>
    <row r="395" spans="1:11" x14ac:dyDescent="0.3">
      <c r="A395">
        <v>1394</v>
      </c>
      <c r="B395" s="2">
        <v>46164.7635270541</v>
      </c>
      <c r="C395" t="s">
        <v>16</v>
      </c>
      <c r="D395" t="s">
        <v>44</v>
      </c>
      <c r="E395" t="s">
        <v>29</v>
      </c>
      <c r="F395" t="s">
        <v>19</v>
      </c>
      <c r="G395">
        <v>2</v>
      </c>
      <c r="H395">
        <v>12000</v>
      </c>
      <c r="I395">
        <v>24000</v>
      </c>
      <c r="J395" t="s">
        <v>20</v>
      </c>
      <c r="K395">
        <v>4</v>
      </c>
    </row>
    <row r="396" spans="1:11" x14ac:dyDescent="0.3">
      <c r="A396">
        <v>1395</v>
      </c>
      <c r="B396" s="2">
        <v>46165.124248496992</v>
      </c>
      <c r="C396" t="s">
        <v>42</v>
      </c>
      <c r="D396" t="s">
        <v>17</v>
      </c>
      <c r="E396" t="s">
        <v>43</v>
      </c>
      <c r="F396" t="s">
        <v>14</v>
      </c>
      <c r="G396">
        <v>1</v>
      </c>
      <c r="H396">
        <v>800</v>
      </c>
      <c r="I396">
        <v>800</v>
      </c>
      <c r="J396" t="s">
        <v>31</v>
      </c>
      <c r="K396">
        <v>3</v>
      </c>
    </row>
    <row r="397" spans="1:11" x14ac:dyDescent="0.3">
      <c r="A397">
        <v>1396</v>
      </c>
      <c r="B397" s="2">
        <v>46165.484969939869</v>
      </c>
      <c r="C397" t="s">
        <v>16</v>
      </c>
      <c r="D397" t="s">
        <v>38</v>
      </c>
      <c r="E397" t="s">
        <v>27</v>
      </c>
      <c r="F397" t="s">
        <v>19</v>
      </c>
      <c r="G397">
        <v>1</v>
      </c>
      <c r="H397">
        <v>55000</v>
      </c>
      <c r="I397">
        <v>55000</v>
      </c>
      <c r="J397" t="s">
        <v>45</v>
      </c>
      <c r="K397">
        <v>5</v>
      </c>
    </row>
    <row r="398" spans="1:11" x14ac:dyDescent="0.3">
      <c r="A398">
        <v>1397</v>
      </c>
      <c r="B398" s="2">
        <v>46165.845691382747</v>
      </c>
      <c r="C398" t="s">
        <v>11</v>
      </c>
      <c r="D398" t="s">
        <v>22</v>
      </c>
      <c r="E398" t="s">
        <v>13</v>
      </c>
      <c r="F398" t="s">
        <v>14</v>
      </c>
      <c r="G398">
        <v>4</v>
      </c>
      <c r="H398">
        <v>1500</v>
      </c>
      <c r="I398">
        <v>6000</v>
      </c>
      <c r="J398" t="s">
        <v>31</v>
      </c>
      <c r="K398">
        <v>4</v>
      </c>
    </row>
    <row r="399" spans="1:11" x14ac:dyDescent="0.3">
      <c r="A399">
        <v>1398</v>
      </c>
      <c r="B399" s="2">
        <v>46166.206412825653</v>
      </c>
      <c r="C399" t="s">
        <v>48</v>
      </c>
      <c r="D399" t="s">
        <v>26</v>
      </c>
      <c r="E399" t="s">
        <v>27</v>
      </c>
      <c r="F399" t="s">
        <v>19</v>
      </c>
      <c r="G399">
        <v>1</v>
      </c>
      <c r="H399">
        <v>55000</v>
      </c>
      <c r="I399">
        <v>55000</v>
      </c>
      <c r="J399" t="s">
        <v>31</v>
      </c>
      <c r="K399">
        <v>5</v>
      </c>
    </row>
    <row r="400" spans="1:11" x14ac:dyDescent="0.3">
      <c r="A400">
        <v>1399</v>
      </c>
      <c r="B400" s="2">
        <v>46166.567134268531</v>
      </c>
      <c r="C400" t="s">
        <v>34</v>
      </c>
      <c r="D400" t="s">
        <v>17</v>
      </c>
      <c r="E400" t="s">
        <v>29</v>
      </c>
      <c r="F400" t="s">
        <v>19</v>
      </c>
      <c r="G400">
        <v>2</v>
      </c>
      <c r="H400">
        <v>12000</v>
      </c>
      <c r="I400">
        <v>24000</v>
      </c>
      <c r="J400" t="s">
        <v>15</v>
      </c>
      <c r="K400">
        <v>4</v>
      </c>
    </row>
    <row r="401" spans="1:11" x14ac:dyDescent="0.3">
      <c r="A401">
        <v>1400</v>
      </c>
      <c r="B401" s="2">
        <v>46166.927855711408</v>
      </c>
      <c r="C401" t="s">
        <v>37</v>
      </c>
      <c r="D401" t="s">
        <v>12</v>
      </c>
      <c r="E401" t="s">
        <v>43</v>
      </c>
      <c r="F401" t="s">
        <v>14</v>
      </c>
      <c r="G401">
        <v>2</v>
      </c>
      <c r="H401">
        <v>800</v>
      </c>
      <c r="I401">
        <v>1600</v>
      </c>
      <c r="J401" t="s">
        <v>15</v>
      </c>
      <c r="K401">
        <v>4</v>
      </c>
    </row>
    <row r="402" spans="1:11" x14ac:dyDescent="0.3">
      <c r="A402">
        <v>1401</v>
      </c>
      <c r="B402" s="2">
        <v>46167.288577154308</v>
      </c>
      <c r="C402" t="s">
        <v>28</v>
      </c>
      <c r="D402" t="s">
        <v>17</v>
      </c>
      <c r="E402" t="s">
        <v>18</v>
      </c>
      <c r="F402" t="s">
        <v>19</v>
      </c>
      <c r="G402">
        <v>3</v>
      </c>
      <c r="H402">
        <v>22000</v>
      </c>
      <c r="I402">
        <v>66000</v>
      </c>
      <c r="J402" t="s">
        <v>15</v>
      </c>
      <c r="K402">
        <v>3</v>
      </c>
    </row>
    <row r="403" spans="1:11" x14ac:dyDescent="0.3">
      <c r="A403">
        <v>1402</v>
      </c>
      <c r="B403" s="2">
        <v>46167.649298597193</v>
      </c>
      <c r="C403" t="s">
        <v>51</v>
      </c>
      <c r="D403" t="s">
        <v>22</v>
      </c>
      <c r="E403" t="s">
        <v>43</v>
      </c>
      <c r="F403" t="s">
        <v>14</v>
      </c>
      <c r="G403">
        <v>3</v>
      </c>
      <c r="H403">
        <v>800</v>
      </c>
      <c r="I403">
        <v>2400</v>
      </c>
      <c r="J403" t="s">
        <v>15</v>
      </c>
      <c r="K403">
        <v>5</v>
      </c>
    </row>
    <row r="404" spans="1:11" x14ac:dyDescent="0.3">
      <c r="A404">
        <v>1403</v>
      </c>
      <c r="B404" s="2">
        <v>46168.01002004007</v>
      </c>
      <c r="C404" t="s">
        <v>46</v>
      </c>
      <c r="D404" t="s">
        <v>22</v>
      </c>
      <c r="E404" t="s">
        <v>27</v>
      </c>
      <c r="F404" t="s">
        <v>19</v>
      </c>
      <c r="G404">
        <v>1</v>
      </c>
      <c r="H404">
        <v>55000</v>
      </c>
      <c r="I404">
        <v>55000</v>
      </c>
      <c r="J404" t="s">
        <v>15</v>
      </c>
      <c r="K404">
        <v>4</v>
      </c>
    </row>
    <row r="405" spans="1:11" x14ac:dyDescent="0.3">
      <c r="A405">
        <v>1404</v>
      </c>
      <c r="B405" s="2">
        <v>46168.370741482962</v>
      </c>
      <c r="C405" t="s">
        <v>25</v>
      </c>
      <c r="D405" t="s">
        <v>38</v>
      </c>
      <c r="E405" t="s">
        <v>18</v>
      </c>
      <c r="F405" t="s">
        <v>19</v>
      </c>
      <c r="G405">
        <v>1</v>
      </c>
      <c r="H405">
        <v>22000</v>
      </c>
      <c r="I405">
        <v>22000</v>
      </c>
      <c r="J405" t="s">
        <v>31</v>
      </c>
      <c r="K405">
        <v>5</v>
      </c>
    </row>
    <row r="406" spans="1:11" x14ac:dyDescent="0.3">
      <c r="A406">
        <v>1405</v>
      </c>
      <c r="B406" s="2">
        <v>46168.731462925847</v>
      </c>
      <c r="C406" t="s">
        <v>49</v>
      </c>
      <c r="D406" t="s">
        <v>17</v>
      </c>
      <c r="E406" t="s">
        <v>13</v>
      </c>
      <c r="F406" t="s">
        <v>14</v>
      </c>
      <c r="G406">
        <v>4</v>
      </c>
      <c r="H406">
        <v>1000</v>
      </c>
      <c r="I406">
        <v>4000</v>
      </c>
      <c r="J406" t="s">
        <v>31</v>
      </c>
      <c r="K406">
        <v>5</v>
      </c>
    </row>
    <row r="407" spans="1:11" x14ac:dyDescent="0.3">
      <c r="A407">
        <v>1406</v>
      </c>
      <c r="B407" s="2">
        <v>46169.092184368717</v>
      </c>
      <c r="C407" t="s">
        <v>36</v>
      </c>
      <c r="D407" t="s">
        <v>44</v>
      </c>
      <c r="E407" t="s">
        <v>27</v>
      </c>
      <c r="F407" t="s">
        <v>19</v>
      </c>
      <c r="G407">
        <v>1</v>
      </c>
      <c r="H407">
        <v>55000</v>
      </c>
      <c r="I407">
        <v>55000</v>
      </c>
      <c r="J407" t="s">
        <v>20</v>
      </c>
      <c r="K407">
        <v>5</v>
      </c>
    </row>
    <row r="408" spans="1:11" x14ac:dyDescent="0.3">
      <c r="A408">
        <v>1407</v>
      </c>
      <c r="B408" s="2">
        <v>46169.452905811617</v>
      </c>
      <c r="C408" t="s">
        <v>30</v>
      </c>
      <c r="D408" t="s">
        <v>38</v>
      </c>
      <c r="E408" t="s">
        <v>23</v>
      </c>
      <c r="F408" t="s">
        <v>24</v>
      </c>
      <c r="G408">
        <v>2</v>
      </c>
      <c r="H408">
        <v>14000</v>
      </c>
      <c r="I408">
        <v>28000</v>
      </c>
      <c r="J408" t="s">
        <v>31</v>
      </c>
      <c r="K408">
        <v>5</v>
      </c>
    </row>
    <row r="409" spans="1:11" x14ac:dyDescent="0.3">
      <c r="A409">
        <v>1408</v>
      </c>
      <c r="B409" s="2">
        <v>46169.813627254502</v>
      </c>
      <c r="C409" t="s">
        <v>28</v>
      </c>
      <c r="D409" t="s">
        <v>38</v>
      </c>
      <c r="E409" t="s">
        <v>27</v>
      </c>
      <c r="F409" t="s">
        <v>19</v>
      </c>
      <c r="G409">
        <v>2</v>
      </c>
      <c r="H409">
        <v>55000</v>
      </c>
      <c r="I409">
        <v>110000</v>
      </c>
      <c r="J409" t="s">
        <v>31</v>
      </c>
      <c r="K409">
        <v>4</v>
      </c>
    </row>
    <row r="410" spans="1:11" x14ac:dyDescent="0.3">
      <c r="A410">
        <v>1409</v>
      </c>
      <c r="B410" s="2">
        <v>46170.174348697386</v>
      </c>
      <c r="C410" t="s">
        <v>28</v>
      </c>
      <c r="D410" t="s">
        <v>44</v>
      </c>
      <c r="E410" t="s">
        <v>13</v>
      </c>
      <c r="F410" t="s">
        <v>14</v>
      </c>
      <c r="G410">
        <v>1</v>
      </c>
      <c r="H410">
        <v>1000</v>
      </c>
      <c r="I410">
        <v>1000</v>
      </c>
      <c r="J410" t="s">
        <v>15</v>
      </c>
      <c r="K410">
        <v>5</v>
      </c>
    </row>
    <row r="411" spans="1:11" x14ac:dyDescent="0.3">
      <c r="A411">
        <v>1410</v>
      </c>
      <c r="B411" s="2">
        <v>46170.535070140279</v>
      </c>
      <c r="C411" t="s">
        <v>46</v>
      </c>
      <c r="D411" t="s">
        <v>26</v>
      </c>
      <c r="E411" t="s">
        <v>18</v>
      </c>
      <c r="F411" t="s">
        <v>19</v>
      </c>
      <c r="G411">
        <v>1</v>
      </c>
      <c r="H411">
        <v>22000</v>
      </c>
      <c r="I411">
        <v>22000</v>
      </c>
      <c r="J411" t="s">
        <v>20</v>
      </c>
      <c r="K411">
        <v>4</v>
      </c>
    </row>
    <row r="412" spans="1:11" x14ac:dyDescent="0.3">
      <c r="A412">
        <v>1411</v>
      </c>
      <c r="B412" s="2">
        <v>46170.895791583163</v>
      </c>
      <c r="C412" t="s">
        <v>37</v>
      </c>
      <c r="D412" t="s">
        <v>17</v>
      </c>
      <c r="E412" t="s">
        <v>39</v>
      </c>
      <c r="F412" t="s">
        <v>19</v>
      </c>
      <c r="G412">
        <v>2</v>
      </c>
      <c r="H412">
        <v>25000</v>
      </c>
      <c r="I412">
        <v>50000</v>
      </c>
      <c r="J412" t="s">
        <v>31</v>
      </c>
      <c r="K412">
        <v>4</v>
      </c>
    </row>
    <row r="413" spans="1:11" x14ac:dyDescent="0.3">
      <c r="A413">
        <v>1412</v>
      </c>
      <c r="B413" s="2">
        <v>46171.256513026041</v>
      </c>
      <c r="C413" t="s">
        <v>49</v>
      </c>
      <c r="D413" t="s">
        <v>17</v>
      </c>
      <c r="E413" t="s">
        <v>29</v>
      </c>
      <c r="F413" t="s">
        <v>19</v>
      </c>
      <c r="G413">
        <v>1</v>
      </c>
      <c r="H413">
        <v>12000</v>
      </c>
      <c r="I413">
        <v>12000</v>
      </c>
      <c r="J413" t="s">
        <v>15</v>
      </c>
      <c r="K413">
        <v>3</v>
      </c>
    </row>
    <row r="414" spans="1:11" x14ac:dyDescent="0.3">
      <c r="A414">
        <v>1413</v>
      </c>
      <c r="B414" s="2">
        <v>46171.617234468933</v>
      </c>
      <c r="C414" t="s">
        <v>21</v>
      </c>
      <c r="D414" t="s">
        <v>44</v>
      </c>
      <c r="E414" t="s">
        <v>39</v>
      </c>
      <c r="F414" t="s">
        <v>19</v>
      </c>
      <c r="G414">
        <v>3</v>
      </c>
      <c r="H414">
        <v>25000</v>
      </c>
      <c r="I414">
        <v>75000</v>
      </c>
      <c r="J414" t="s">
        <v>31</v>
      </c>
      <c r="K414">
        <v>4</v>
      </c>
    </row>
    <row r="415" spans="1:11" x14ac:dyDescent="0.3">
      <c r="A415">
        <v>1414</v>
      </c>
      <c r="B415" s="2">
        <v>46171.977955911818</v>
      </c>
      <c r="C415" t="s">
        <v>35</v>
      </c>
      <c r="D415" t="s">
        <v>12</v>
      </c>
      <c r="E415" t="s">
        <v>23</v>
      </c>
      <c r="F415" t="s">
        <v>24</v>
      </c>
      <c r="G415">
        <v>3</v>
      </c>
      <c r="H415">
        <v>14000</v>
      </c>
      <c r="I415">
        <v>42000</v>
      </c>
      <c r="J415" t="s">
        <v>15</v>
      </c>
      <c r="K415">
        <v>5</v>
      </c>
    </row>
    <row r="416" spans="1:11" x14ac:dyDescent="0.3">
      <c r="A416">
        <v>1415</v>
      </c>
      <c r="B416" s="2">
        <v>46172.338677354703</v>
      </c>
      <c r="C416" t="s">
        <v>46</v>
      </c>
      <c r="D416" t="s">
        <v>22</v>
      </c>
      <c r="E416" t="s">
        <v>13</v>
      </c>
      <c r="F416" t="s">
        <v>14</v>
      </c>
      <c r="G416">
        <v>4</v>
      </c>
      <c r="H416">
        <v>1500</v>
      </c>
      <c r="I416">
        <v>6000</v>
      </c>
      <c r="J416" t="s">
        <v>20</v>
      </c>
      <c r="K416">
        <v>4</v>
      </c>
    </row>
    <row r="417" spans="1:11" x14ac:dyDescent="0.3">
      <c r="A417">
        <v>1416</v>
      </c>
      <c r="B417" s="2">
        <v>46172.699398797587</v>
      </c>
      <c r="C417" t="s">
        <v>25</v>
      </c>
      <c r="D417" t="s">
        <v>22</v>
      </c>
      <c r="E417" t="s">
        <v>39</v>
      </c>
      <c r="F417" t="s">
        <v>19</v>
      </c>
      <c r="G417">
        <v>1</v>
      </c>
      <c r="H417">
        <v>25000</v>
      </c>
      <c r="I417">
        <v>25000</v>
      </c>
      <c r="J417" t="s">
        <v>31</v>
      </c>
      <c r="K417">
        <v>5</v>
      </c>
    </row>
    <row r="418" spans="1:11" x14ac:dyDescent="0.3">
      <c r="A418">
        <v>1417</v>
      </c>
      <c r="B418" s="2">
        <v>46173.060120240472</v>
      </c>
      <c r="C418" t="s">
        <v>28</v>
      </c>
      <c r="D418" t="s">
        <v>12</v>
      </c>
      <c r="E418" t="s">
        <v>27</v>
      </c>
      <c r="F418" t="s">
        <v>19</v>
      </c>
      <c r="G418">
        <v>1</v>
      </c>
      <c r="H418">
        <v>55000</v>
      </c>
      <c r="I418">
        <v>55000</v>
      </c>
      <c r="J418" t="s">
        <v>15</v>
      </c>
      <c r="K418">
        <v>4</v>
      </c>
    </row>
    <row r="419" spans="1:11" x14ac:dyDescent="0.3">
      <c r="A419">
        <v>1418</v>
      </c>
      <c r="B419" s="2">
        <v>46173.420841683357</v>
      </c>
      <c r="C419" t="s">
        <v>11</v>
      </c>
      <c r="D419" t="s">
        <v>17</v>
      </c>
      <c r="E419" t="s">
        <v>13</v>
      </c>
      <c r="F419" t="s">
        <v>14</v>
      </c>
      <c r="G419">
        <v>1</v>
      </c>
      <c r="H419">
        <v>1500</v>
      </c>
      <c r="I419">
        <v>1500</v>
      </c>
      <c r="J419" t="s">
        <v>31</v>
      </c>
      <c r="K419">
        <v>5</v>
      </c>
    </row>
    <row r="420" spans="1:11" x14ac:dyDescent="0.3">
      <c r="A420">
        <v>1419</v>
      </c>
      <c r="B420" s="2">
        <v>46173.781563126249</v>
      </c>
      <c r="C420" t="s">
        <v>32</v>
      </c>
      <c r="D420" t="s">
        <v>38</v>
      </c>
      <c r="E420" t="s">
        <v>29</v>
      </c>
      <c r="F420" t="s">
        <v>19</v>
      </c>
      <c r="G420">
        <v>2</v>
      </c>
      <c r="H420">
        <v>12000</v>
      </c>
      <c r="I420">
        <v>24000</v>
      </c>
      <c r="J420" t="s">
        <v>15</v>
      </c>
      <c r="K420">
        <v>5</v>
      </c>
    </row>
    <row r="421" spans="1:11" x14ac:dyDescent="0.3">
      <c r="A421">
        <v>1420</v>
      </c>
      <c r="B421" s="2">
        <v>46174.142284569127</v>
      </c>
      <c r="C421" t="s">
        <v>32</v>
      </c>
      <c r="D421" t="s">
        <v>38</v>
      </c>
      <c r="E421" t="s">
        <v>39</v>
      </c>
      <c r="F421" t="s">
        <v>19</v>
      </c>
      <c r="G421">
        <v>3</v>
      </c>
      <c r="H421">
        <v>25000</v>
      </c>
      <c r="I421">
        <v>75000</v>
      </c>
      <c r="J421" t="s">
        <v>31</v>
      </c>
      <c r="K421">
        <v>5</v>
      </c>
    </row>
    <row r="422" spans="1:11" x14ac:dyDescent="0.3">
      <c r="A422">
        <v>1421</v>
      </c>
      <c r="B422" s="2">
        <v>46174.503006012012</v>
      </c>
      <c r="C422" t="s">
        <v>21</v>
      </c>
      <c r="D422" t="s">
        <v>12</v>
      </c>
      <c r="E422" t="s">
        <v>29</v>
      </c>
      <c r="F422" t="s">
        <v>19</v>
      </c>
      <c r="G422">
        <v>1</v>
      </c>
      <c r="H422">
        <v>11500</v>
      </c>
      <c r="I422">
        <v>11500</v>
      </c>
      <c r="J422" t="s">
        <v>31</v>
      </c>
      <c r="K422">
        <v>5</v>
      </c>
    </row>
    <row r="423" spans="1:11" x14ac:dyDescent="0.3">
      <c r="A423">
        <v>1422</v>
      </c>
      <c r="B423" s="2">
        <v>46174.863727454911</v>
      </c>
      <c r="C423" t="s">
        <v>46</v>
      </c>
      <c r="D423" t="s">
        <v>17</v>
      </c>
      <c r="E423" t="s">
        <v>43</v>
      </c>
      <c r="F423" t="s">
        <v>14</v>
      </c>
      <c r="G423">
        <v>2</v>
      </c>
      <c r="H423">
        <v>800</v>
      </c>
      <c r="I423">
        <v>1600</v>
      </c>
      <c r="J423" t="s">
        <v>45</v>
      </c>
      <c r="K423">
        <v>4</v>
      </c>
    </row>
    <row r="424" spans="1:11" x14ac:dyDescent="0.3">
      <c r="A424">
        <v>1423</v>
      </c>
      <c r="B424" s="2">
        <v>46175.224448897789</v>
      </c>
      <c r="C424" t="s">
        <v>42</v>
      </c>
      <c r="D424" t="s">
        <v>38</v>
      </c>
      <c r="E424" t="s">
        <v>39</v>
      </c>
      <c r="F424" t="s">
        <v>19</v>
      </c>
      <c r="G424">
        <v>2</v>
      </c>
      <c r="H424">
        <v>25000</v>
      </c>
      <c r="I424">
        <v>50000</v>
      </c>
      <c r="J424" t="s">
        <v>31</v>
      </c>
      <c r="K424">
        <v>3</v>
      </c>
    </row>
    <row r="425" spans="1:11" x14ac:dyDescent="0.3">
      <c r="A425">
        <v>1424</v>
      </c>
      <c r="B425" s="2">
        <v>46175.585170340673</v>
      </c>
      <c r="C425" t="s">
        <v>46</v>
      </c>
      <c r="D425" t="s">
        <v>38</v>
      </c>
      <c r="E425" t="s">
        <v>18</v>
      </c>
      <c r="F425" t="s">
        <v>19</v>
      </c>
      <c r="G425">
        <v>2</v>
      </c>
      <c r="H425">
        <v>22000</v>
      </c>
      <c r="I425">
        <v>44000</v>
      </c>
      <c r="J425" t="s">
        <v>45</v>
      </c>
      <c r="K425">
        <v>5</v>
      </c>
    </row>
    <row r="426" spans="1:11" x14ac:dyDescent="0.3">
      <c r="A426">
        <v>1425</v>
      </c>
      <c r="B426" s="2">
        <v>46175.945891783573</v>
      </c>
      <c r="C426" t="s">
        <v>28</v>
      </c>
      <c r="D426" t="s">
        <v>26</v>
      </c>
      <c r="E426" t="s">
        <v>13</v>
      </c>
      <c r="F426" t="s">
        <v>14</v>
      </c>
      <c r="G426">
        <v>2</v>
      </c>
      <c r="H426">
        <v>1500</v>
      </c>
      <c r="I426">
        <v>3000</v>
      </c>
      <c r="J426" t="s">
        <v>15</v>
      </c>
      <c r="K426">
        <v>3</v>
      </c>
    </row>
    <row r="427" spans="1:11" x14ac:dyDescent="0.3">
      <c r="A427">
        <v>1426</v>
      </c>
      <c r="B427" s="2">
        <v>46176.30661322645</v>
      </c>
      <c r="C427" t="s">
        <v>49</v>
      </c>
      <c r="D427" t="s">
        <v>12</v>
      </c>
      <c r="E427" t="s">
        <v>27</v>
      </c>
      <c r="F427" t="s">
        <v>19</v>
      </c>
      <c r="G427">
        <v>2</v>
      </c>
      <c r="H427">
        <v>55000</v>
      </c>
      <c r="I427">
        <v>110000</v>
      </c>
      <c r="J427" t="s">
        <v>15</v>
      </c>
      <c r="K427">
        <v>5</v>
      </c>
    </row>
    <row r="428" spans="1:11" x14ac:dyDescent="0.3">
      <c r="A428">
        <v>1427</v>
      </c>
      <c r="B428" s="2">
        <v>46176.667334669328</v>
      </c>
      <c r="C428" t="s">
        <v>51</v>
      </c>
      <c r="D428" t="s">
        <v>26</v>
      </c>
      <c r="E428" t="s">
        <v>13</v>
      </c>
      <c r="F428" t="s">
        <v>14</v>
      </c>
      <c r="G428">
        <v>4</v>
      </c>
      <c r="H428">
        <v>2000</v>
      </c>
      <c r="I428">
        <v>8000</v>
      </c>
      <c r="J428" t="s">
        <v>20</v>
      </c>
      <c r="K428">
        <v>5</v>
      </c>
    </row>
    <row r="429" spans="1:11" x14ac:dyDescent="0.3">
      <c r="A429">
        <v>1428</v>
      </c>
      <c r="B429" s="2">
        <v>46177.02805611222</v>
      </c>
      <c r="C429" t="s">
        <v>41</v>
      </c>
      <c r="D429" t="s">
        <v>26</v>
      </c>
      <c r="E429" t="s">
        <v>29</v>
      </c>
      <c r="F429" t="s">
        <v>19</v>
      </c>
      <c r="G429">
        <v>1</v>
      </c>
      <c r="H429">
        <v>12000</v>
      </c>
      <c r="I429">
        <v>12000</v>
      </c>
      <c r="J429" t="s">
        <v>20</v>
      </c>
      <c r="K429">
        <v>4</v>
      </c>
    </row>
    <row r="430" spans="1:11" x14ac:dyDescent="0.3">
      <c r="A430">
        <v>1429</v>
      </c>
      <c r="B430" s="2">
        <v>46177.388777555097</v>
      </c>
      <c r="C430" t="s">
        <v>46</v>
      </c>
      <c r="D430" t="s">
        <v>44</v>
      </c>
      <c r="E430" t="s">
        <v>18</v>
      </c>
      <c r="F430" t="s">
        <v>19</v>
      </c>
      <c r="G430">
        <v>2</v>
      </c>
      <c r="H430">
        <v>22000</v>
      </c>
      <c r="I430">
        <v>44000</v>
      </c>
      <c r="J430" t="s">
        <v>31</v>
      </c>
      <c r="K430">
        <v>4</v>
      </c>
    </row>
    <row r="431" spans="1:11" x14ac:dyDescent="0.3">
      <c r="A431">
        <v>1430</v>
      </c>
      <c r="B431" s="2">
        <v>46177.74949899799</v>
      </c>
      <c r="C431" t="s">
        <v>50</v>
      </c>
      <c r="D431" t="s">
        <v>38</v>
      </c>
      <c r="E431" t="s">
        <v>29</v>
      </c>
      <c r="F431" t="s">
        <v>19</v>
      </c>
      <c r="G431">
        <v>1</v>
      </c>
      <c r="H431">
        <v>12000</v>
      </c>
      <c r="I431">
        <v>12000</v>
      </c>
      <c r="J431" t="s">
        <v>20</v>
      </c>
      <c r="K431">
        <v>5</v>
      </c>
    </row>
    <row r="432" spans="1:11" x14ac:dyDescent="0.3">
      <c r="A432">
        <v>1431</v>
      </c>
      <c r="B432" s="2">
        <v>46178.110220440882</v>
      </c>
      <c r="C432" t="s">
        <v>51</v>
      </c>
      <c r="D432" t="s">
        <v>26</v>
      </c>
      <c r="E432" t="s">
        <v>43</v>
      </c>
      <c r="F432" t="s">
        <v>14</v>
      </c>
      <c r="G432">
        <v>1</v>
      </c>
      <c r="H432">
        <v>800</v>
      </c>
      <c r="I432">
        <v>800</v>
      </c>
      <c r="J432" t="s">
        <v>15</v>
      </c>
      <c r="K432">
        <v>2</v>
      </c>
    </row>
    <row r="433" spans="1:11" x14ac:dyDescent="0.3">
      <c r="A433">
        <v>1432</v>
      </c>
      <c r="B433" s="2">
        <v>46178.470941883759</v>
      </c>
      <c r="C433" t="s">
        <v>48</v>
      </c>
      <c r="D433" t="s">
        <v>38</v>
      </c>
      <c r="E433" t="s">
        <v>18</v>
      </c>
      <c r="F433" t="s">
        <v>19</v>
      </c>
      <c r="G433">
        <v>2</v>
      </c>
      <c r="H433">
        <v>22000</v>
      </c>
      <c r="I433">
        <v>44000</v>
      </c>
      <c r="J433" t="s">
        <v>15</v>
      </c>
      <c r="K433">
        <v>5</v>
      </c>
    </row>
    <row r="434" spans="1:11" x14ac:dyDescent="0.3">
      <c r="A434">
        <v>1433</v>
      </c>
      <c r="B434" s="2">
        <v>46178.831663326637</v>
      </c>
      <c r="C434" t="s">
        <v>32</v>
      </c>
      <c r="D434" t="s">
        <v>26</v>
      </c>
      <c r="E434" t="s">
        <v>23</v>
      </c>
      <c r="F434" t="s">
        <v>24</v>
      </c>
      <c r="G434">
        <v>1</v>
      </c>
      <c r="H434">
        <v>14000</v>
      </c>
      <c r="I434">
        <v>14000</v>
      </c>
      <c r="J434" t="s">
        <v>31</v>
      </c>
      <c r="K434">
        <v>5</v>
      </c>
    </row>
    <row r="435" spans="1:11" x14ac:dyDescent="0.3">
      <c r="A435">
        <v>1434</v>
      </c>
      <c r="B435" s="2">
        <v>46179.192384769543</v>
      </c>
      <c r="C435" t="s">
        <v>21</v>
      </c>
      <c r="D435" t="s">
        <v>22</v>
      </c>
      <c r="E435" t="s">
        <v>43</v>
      </c>
      <c r="F435" t="s">
        <v>14</v>
      </c>
      <c r="G435">
        <v>2</v>
      </c>
      <c r="H435">
        <v>800</v>
      </c>
      <c r="I435">
        <v>1600</v>
      </c>
      <c r="J435" t="s">
        <v>45</v>
      </c>
      <c r="K435">
        <v>5</v>
      </c>
    </row>
    <row r="436" spans="1:11" x14ac:dyDescent="0.3">
      <c r="A436">
        <v>1435</v>
      </c>
      <c r="B436" s="2">
        <v>46179.553106212421</v>
      </c>
      <c r="C436" t="s">
        <v>42</v>
      </c>
      <c r="D436" t="s">
        <v>17</v>
      </c>
      <c r="E436" t="s">
        <v>13</v>
      </c>
      <c r="F436" t="s">
        <v>14</v>
      </c>
      <c r="G436">
        <v>2</v>
      </c>
      <c r="H436">
        <v>1500</v>
      </c>
      <c r="I436">
        <v>3000</v>
      </c>
      <c r="J436" t="s">
        <v>15</v>
      </c>
      <c r="K436">
        <v>4</v>
      </c>
    </row>
    <row r="437" spans="1:11" x14ac:dyDescent="0.3">
      <c r="A437">
        <v>1436</v>
      </c>
      <c r="B437" s="2">
        <v>46179.913827655299</v>
      </c>
      <c r="C437" t="s">
        <v>41</v>
      </c>
      <c r="D437" t="s">
        <v>17</v>
      </c>
      <c r="E437" t="s">
        <v>18</v>
      </c>
      <c r="F437" t="s">
        <v>19</v>
      </c>
      <c r="G437">
        <v>1</v>
      </c>
      <c r="H437">
        <v>22000</v>
      </c>
      <c r="I437">
        <v>22000</v>
      </c>
      <c r="J437" t="s">
        <v>31</v>
      </c>
      <c r="K437">
        <v>3</v>
      </c>
    </row>
    <row r="438" spans="1:11" x14ac:dyDescent="0.3">
      <c r="A438">
        <v>1437</v>
      </c>
      <c r="B438" s="2">
        <v>46180.274549098198</v>
      </c>
      <c r="C438" t="s">
        <v>47</v>
      </c>
      <c r="D438" t="s">
        <v>22</v>
      </c>
      <c r="E438" t="s">
        <v>43</v>
      </c>
      <c r="F438" t="s">
        <v>14</v>
      </c>
      <c r="G438">
        <v>1</v>
      </c>
      <c r="H438">
        <v>1300</v>
      </c>
      <c r="I438">
        <v>1300</v>
      </c>
      <c r="J438" t="s">
        <v>15</v>
      </c>
      <c r="K438">
        <v>5</v>
      </c>
    </row>
    <row r="439" spans="1:11" x14ac:dyDescent="0.3">
      <c r="A439">
        <v>1438</v>
      </c>
      <c r="B439" s="2">
        <v>46180.635270541083</v>
      </c>
      <c r="C439" t="s">
        <v>41</v>
      </c>
      <c r="D439" t="s">
        <v>38</v>
      </c>
      <c r="E439" t="s">
        <v>13</v>
      </c>
      <c r="F439" t="s">
        <v>14</v>
      </c>
      <c r="G439">
        <v>1</v>
      </c>
      <c r="H439">
        <v>1500</v>
      </c>
      <c r="I439">
        <v>1500</v>
      </c>
      <c r="J439" t="s">
        <v>20</v>
      </c>
      <c r="K439">
        <v>5</v>
      </c>
    </row>
    <row r="440" spans="1:11" x14ac:dyDescent="0.3">
      <c r="A440">
        <v>1439</v>
      </c>
      <c r="B440" s="2">
        <v>46180.99599198396</v>
      </c>
      <c r="C440" t="s">
        <v>30</v>
      </c>
      <c r="D440" t="s">
        <v>44</v>
      </c>
      <c r="E440" t="s">
        <v>13</v>
      </c>
      <c r="F440" t="s">
        <v>14</v>
      </c>
      <c r="G440">
        <v>3</v>
      </c>
      <c r="H440">
        <v>1500</v>
      </c>
      <c r="I440">
        <v>4500</v>
      </c>
      <c r="J440" t="s">
        <v>15</v>
      </c>
      <c r="K440">
        <v>5</v>
      </c>
    </row>
    <row r="441" spans="1:11" x14ac:dyDescent="0.3">
      <c r="A441">
        <v>1440</v>
      </c>
      <c r="B441" s="2">
        <v>46181.356713426852</v>
      </c>
      <c r="C441" t="s">
        <v>30</v>
      </c>
      <c r="D441" t="s">
        <v>12</v>
      </c>
      <c r="E441" t="s">
        <v>43</v>
      </c>
      <c r="F441" t="s">
        <v>14</v>
      </c>
      <c r="G441">
        <v>1</v>
      </c>
      <c r="H441">
        <v>1300</v>
      </c>
      <c r="I441">
        <v>1300</v>
      </c>
      <c r="J441" t="s">
        <v>45</v>
      </c>
      <c r="K441">
        <v>5</v>
      </c>
    </row>
    <row r="442" spans="1:11" x14ac:dyDescent="0.3">
      <c r="A442">
        <v>1441</v>
      </c>
      <c r="B442" s="2">
        <v>46181.717434869737</v>
      </c>
      <c r="C442" t="s">
        <v>36</v>
      </c>
      <c r="D442" t="s">
        <v>22</v>
      </c>
      <c r="E442" t="s">
        <v>43</v>
      </c>
      <c r="F442" t="s">
        <v>14</v>
      </c>
      <c r="G442">
        <v>4</v>
      </c>
      <c r="H442">
        <v>800</v>
      </c>
      <c r="I442">
        <v>3200</v>
      </c>
      <c r="J442" t="s">
        <v>20</v>
      </c>
      <c r="K442">
        <v>5</v>
      </c>
    </row>
    <row r="443" spans="1:11" x14ac:dyDescent="0.3">
      <c r="A443">
        <v>1442</v>
      </c>
      <c r="B443" s="2">
        <v>46182.078156312607</v>
      </c>
      <c r="C443" t="s">
        <v>47</v>
      </c>
      <c r="D443" t="s">
        <v>38</v>
      </c>
      <c r="E443" t="s">
        <v>33</v>
      </c>
      <c r="F443" t="s">
        <v>14</v>
      </c>
      <c r="G443">
        <v>2</v>
      </c>
      <c r="H443">
        <v>2500</v>
      </c>
      <c r="I443">
        <v>5000</v>
      </c>
      <c r="J443" t="s">
        <v>15</v>
      </c>
      <c r="K443">
        <v>4</v>
      </c>
    </row>
    <row r="444" spans="1:11" x14ac:dyDescent="0.3">
      <c r="A444">
        <v>1443</v>
      </c>
      <c r="B444" s="2">
        <v>46182.438877755507</v>
      </c>
      <c r="C444" t="s">
        <v>35</v>
      </c>
      <c r="D444" t="s">
        <v>17</v>
      </c>
      <c r="E444" t="s">
        <v>23</v>
      </c>
      <c r="F444" t="s">
        <v>24</v>
      </c>
      <c r="G444">
        <v>3</v>
      </c>
      <c r="H444">
        <v>14000</v>
      </c>
      <c r="I444">
        <v>42000</v>
      </c>
      <c r="J444" t="s">
        <v>45</v>
      </c>
      <c r="K444">
        <v>5</v>
      </c>
    </row>
    <row r="445" spans="1:11" x14ac:dyDescent="0.3">
      <c r="A445">
        <v>1444</v>
      </c>
      <c r="B445" s="2">
        <v>46182.799599198392</v>
      </c>
      <c r="C445" t="s">
        <v>50</v>
      </c>
      <c r="D445" t="s">
        <v>38</v>
      </c>
      <c r="E445" t="s">
        <v>29</v>
      </c>
      <c r="F445" t="s">
        <v>19</v>
      </c>
      <c r="G445">
        <v>1</v>
      </c>
      <c r="H445">
        <v>12000</v>
      </c>
      <c r="I445">
        <v>12000</v>
      </c>
      <c r="J445" t="s">
        <v>31</v>
      </c>
      <c r="K445">
        <v>3</v>
      </c>
    </row>
    <row r="446" spans="1:11" x14ac:dyDescent="0.3">
      <c r="A446">
        <v>1445</v>
      </c>
      <c r="B446" s="2">
        <v>46183.160320641276</v>
      </c>
      <c r="C446" t="s">
        <v>41</v>
      </c>
      <c r="D446" t="s">
        <v>44</v>
      </c>
      <c r="E446" t="s">
        <v>29</v>
      </c>
      <c r="F446" t="s">
        <v>19</v>
      </c>
      <c r="G446">
        <v>1</v>
      </c>
      <c r="H446">
        <v>12000</v>
      </c>
      <c r="I446">
        <v>12000</v>
      </c>
      <c r="J446" t="s">
        <v>31</v>
      </c>
      <c r="K446">
        <v>3</v>
      </c>
    </row>
    <row r="447" spans="1:11" x14ac:dyDescent="0.3">
      <c r="A447">
        <v>1446</v>
      </c>
      <c r="B447" s="2">
        <v>46183.521042084169</v>
      </c>
      <c r="C447" t="s">
        <v>42</v>
      </c>
      <c r="D447" t="s">
        <v>17</v>
      </c>
      <c r="E447" t="s">
        <v>18</v>
      </c>
      <c r="F447" t="s">
        <v>19</v>
      </c>
      <c r="G447">
        <v>1</v>
      </c>
      <c r="H447">
        <v>22000</v>
      </c>
      <c r="I447">
        <v>22000</v>
      </c>
      <c r="J447" t="s">
        <v>15</v>
      </c>
      <c r="K447">
        <v>5</v>
      </c>
    </row>
    <row r="448" spans="1:11" x14ac:dyDescent="0.3">
      <c r="A448">
        <v>1447</v>
      </c>
      <c r="B448" s="2">
        <v>46183.881763527053</v>
      </c>
      <c r="C448" t="s">
        <v>40</v>
      </c>
      <c r="D448" t="s">
        <v>26</v>
      </c>
      <c r="E448" t="s">
        <v>29</v>
      </c>
      <c r="F448" t="s">
        <v>19</v>
      </c>
      <c r="G448">
        <v>1</v>
      </c>
      <c r="H448">
        <v>12000</v>
      </c>
      <c r="I448">
        <v>12000</v>
      </c>
      <c r="J448" t="s">
        <v>31</v>
      </c>
      <c r="K448">
        <v>4</v>
      </c>
    </row>
    <row r="449" spans="1:11" x14ac:dyDescent="0.3">
      <c r="A449">
        <v>1448</v>
      </c>
      <c r="B449" s="2">
        <v>46184.242484969931</v>
      </c>
      <c r="C449" t="s">
        <v>42</v>
      </c>
      <c r="D449" t="s">
        <v>26</v>
      </c>
      <c r="E449" t="s">
        <v>29</v>
      </c>
      <c r="F449" t="s">
        <v>19</v>
      </c>
      <c r="G449">
        <v>1</v>
      </c>
      <c r="H449">
        <v>12000</v>
      </c>
      <c r="I449">
        <v>12000</v>
      </c>
      <c r="J449" t="s">
        <v>15</v>
      </c>
      <c r="K449">
        <v>4</v>
      </c>
    </row>
    <row r="450" spans="1:11" x14ac:dyDescent="0.3">
      <c r="A450">
        <v>1449</v>
      </c>
      <c r="B450" s="2">
        <v>46184.603206412823</v>
      </c>
      <c r="C450" t="s">
        <v>21</v>
      </c>
      <c r="D450" t="s">
        <v>26</v>
      </c>
      <c r="E450" t="s">
        <v>18</v>
      </c>
      <c r="F450" t="s">
        <v>19</v>
      </c>
      <c r="G450">
        <v>1</v>
      </c>
      <c r="H450">
        <v>22000</v>
      </c>
      <c r="I450">
        <v>22000</v>
      </c>
      <c r="J450" t="s">
        <v>31</v>
      </c>
      <c r="K450">
        <v>5</v>
      </c>
    </row>
    <row r="451" spans="1:11" x14ac:dyDescent="0.3">
      <c r="A451">
        <v>1450</v>
      </c>
      <c r="B451" s="2">
        <v>46184.963927855708</v>
      </c>
      <c r="C451" t="s">
        <v>40</v>
      </c>
      <c r="D451" t="s">
        <v>22</v>
      </c>
      <c r="E451" t="s">
        <v>13</v>
      </c>
      <c r="F451" t="s">
        <v>14</v>
      </c>
      <c r="G451">
        <v>2</v>
      </c>
      <c r="H451">
        <v>1500</v>
      </c>
      <c r="I451">
        <v>3000</v>
      </c>
      <c r="J451" t="s">
        <v>15</v>
      </c>
      <c r="K451">
        <v>4</v>
      </c>
    </row>
    <row r="452" spans="1:11" x14ac:dyDescent="0.3">
      <c r="A452">
        <v>1451</v>
      </c>
      <c r="B452" s="2">
        <v>46185.324649298593</v>
      </c>
      <c r="C452" t="s">
        <v>32</v>
      </c>
      <c r="D452" t="s">
        <v>26</v>
      </c>
      <c r="E452" t="s">
        <v>27</v>
      </c>
      <c r="F452" t="s">
        <v>19</v>
      </c>
      <c r="G452">
        <v>1</v>
      </c>
      <c r="H452">
        <v>55500</v>
      </c>
      <c r="I452">
        <v>55500</v>
      </c>
      <c r="J452" t="s">
        <v>15</v>
      </c>
      <c r="K452">
        <v>5</v>
      </c>
    </row>
    <row r="453" spans="1:11" x14ac:dyDescent="0.3">
      <c r="A453">
        <v>1452</v>
      </c>
      <c r="B453" s="2">
        <v>46185.685370741478</v>
      </c>
      <c r="C453" t="s">
        <v>42</v>
      </c>
      <c r="D453" t="s">
        <v>38</v>
      </c>
      <c r="E453" t="s">
        <v>39</v>
      </c>
      <c r="F453" t="s">
        <v>19</v>
      </c>
      <c r="G453">
        <v>1</v>
      </c>
      <c r="H453">
        <v>25000</v>
      </c>
      <c r="I453">
        <v>25000</v>
      </c>
      <c r="J453" t="s">
        <v>15</v>
      </c>
      <c r="K453">
        <v>4</v>
      </c>
    </row>
    <row r="454" spans="1:11" x14ac:dyDescent="0.3">
      <c r="A454">
        <v>1453</v>
      </c>
      <c r="B454" s="2">
        <v>46186.046092184362</v>
      </c>
      <c r="C454" t="s">
        <v>48</v>
      </c>
      <c r="D454" t="s">
        <v>17</v>
      </c>
      <c r="E454" t="s">
        <v>43</v>
      </c>
      <c r="F454" t="s">
        <v>14</v>
      </c>
      <c r="G454">
        <v>2</v>
      </c>
      <c r="H454">
        <v>800</v>
      </c>
      <c r="I454">
        <v>1600</v>
      </c>
      <c r="J454" t="s">
        <v>20</v>
      </c>
      <c r="K454">
        <v>5</v>
      </c>
    </row>
    <row r="455" spans="1:11" x14ac:dyDescent="0.3">
      <c r="A455">
        <v>1454</v>
      </c>
      <c r="B455" s="2">
        <v>46186.406813627247</v>
      </c>
      <c r="C455" t="s">
        <v>47</v>
      </c>
      <c r="D455" t="s">
        <v>17</v>
      </c>
      <c r="E455" t="s">
        <v>27</v>
      </c>
      <c r="F455" t="s">
        <v>19</v>
      </c>
      <c r="G455">
        <v>2</v>
      </c>
      <c r="H455">
        <v>55000</v>
      </c>
      <c r="I455">
        <v>110000</v>
      </c>
      <c r="J455" t="s">
        <v>20</v>
      </c>
      <c r="K455">
        <v>4</v>
      </c>
    </row>
    <row r="456" spans="1:11" x14ac:dyDescent="0.3">
      <c r="A456">
        <v>1455</v>
      </c>
      <c r="B456" s="2">
        <v>46186.767535070139</v>
      </c>
      <c r="C456" t="s">
        <v>51</v>
      </c>
      <c r="D456" t="s">
        <v>22</v>
      </c>
      <c r="E456" t="s">
        <v>27</v>
      </c>
      <c r="F456" t="s">
        <v>19</v>
      </c>
      <c r="G456">
        <v>1</v>
      </c>
      <c r="H456">
        <v>54500</v>
      </c>
      <c r="I456">
        <v>54500</v>
      </c>
      <c r="J456" t="s">
        <v>15</v>
      </c>
      <c r="K456">
        <v>3</v>
      </c>
    </row>
    <row r="457" spans="1:11" x14ac:dyDescent="0.3">
      <c r="A457">
        <v>1456</v>
      </c>
      <c r="B457" s="2">
        <v>46187.128256513017</v>
      </c>
      <c r="C457" t="s">
        <v>28</v>
      </c>
      <c r="D457" t="s">
        <v>44</v>
      </c>
      <c r="E457" t="s">
        <v>18</v>
      </c>
      <c r="F457" t="s">
        <v>19</v>
      </c>
      <c r="G457">
        <v>1</v>
      </c>
      <c r="H457">
        <v>21500</v>
      </c>
      <c r="I457">
        <v>21500</v>
      </c>
      <c r="J457" t="s">
        <v>15</v>
      </c>
      <c r="K457">
        <v>4</v>
      </c>
    </row>
    <row r="458" spans="1:11" x14ac:dyDescent="0.3">
      <c r="A458">
        <v>1457</v>
      </c>
      <c r="B458" s="2">
        <v>46187.488977955902</v>
      </c>
      <c r="C458" t="s">
        <v>48</v>
      </c>
      <c r="D458" t="s">
        <v>17</v>
      </c>
      <c r="E458" t="s">
        <v>39</v>
      </c>
      <c r="F458" t="s">
        <v>19</v>
      </c>
      <c r="G458">
        <v>1</v>
      </c>
      <c r="H458">
        <v>25000</v>
      </c>
      <c r="I458">
        <v>25000</v>
      </c>
      <c r="J458" t="s">
        <v>31</v>
      </c>
      <c r="K458">
        <v>4</v>
      </c>
    </row>
    <row r="459" spans="1:11" x14ac:dyDescent="0.3">
      <c r="A459">
        <v>1458</v>
      </c>
      <c r="B459" s="2">
        <v>46187.849699398786</v>
      </c>
      <c r="C459" t="s">
        <v>32</v>
      </c>
      <c r="D459" t="s">
        <v>17</v>
      </c>
      <c r="E459" t="s">
        <v>29</v>
      </c>
      <c r="F459" t="s">
        <v>19</v>
      </c>
      <c r="G459">
        <v>1</v>
      </c>
      <c r="H459">
        <v>12000</v>
      </c>
      <c r="I459">
        <v>12000</v>
      </c>
      <c r="J459" t="s">
        <v>15</v>
      </c>
      <c r="K459">
        <v>2</v>
      </c>
    </row>
    <row r="460" spans="1:11" x14ac:dyDescent="0.3">
      <c r="A460">
        <v>1459</v>
      </c>
      <c r="B460" s="2">
        <v>46188.210420841679</v>
      </c>
      <c r="C460" t="s">
        <v>35</v>
      </c>
      <c r="D460" t="s">
        <v>12</v>
      </c>
      <c r="E460" t="s">
        <v>18</v>
      </c>
      <c r="F460" t="s">
        <v>19</v>
      </c>
      <c r="G460">
        <v>1</v>
      </c>
      <c r="H460">
        <v>22000</v>
      </c>
      <c r="I460">
        <v>22000</v>
      </c>
      <c r="J460" t="s">
        <v>31</v>
      </c>
      <c r="K460">
        <v>4</v>
      </c>
    </row>
    <row r="461" spans="1:11" x14ac:dyDescent="0.3">
      <c r="A461">
        <v>1460</v>
      </c>
      <c r="B461" s="2">
        <v>46188.571142284563</v>
      </c>
      <c r="C461" t="s">
        <v>48</v>
      </c>
      <c r="D461" t="s">
        <v>38</v>
      </c>
      <c r="E461" t="s">
        <v>39</v>
      </c>
      <c r="F461" t="s">
        <v>19</v>
      </c>
      <c r="G461">
        <v>3</v>
      </c>
      <c r="H461">
        <v>25000</v>
      </c>
      <c r="I461">
        <v>75000</v>
      </c>
      <c r="J461" t="s">
        <v>31</v>
      </c>
      <c r="K461">
        <v>4</v>
      </c>
    </row>
    <row r="462" spans="1:11" x14ac:dyDescent="0.3">
      <c r="A462">
        <v>1461</v>
      </c>
      <c r="B462" s="2">
        <v>46188.931863727463</v>
      </c>
      <c r="C462" t="s">
        <v>41</v>
      </c>
      <c r="D462" t="s">
        <v>38</v>
      </c>
      <c r="E462" t="s">
        <v>33</v>
      </c>
      <c r="F462" t="s">
        <v>14</v>
      </c>
      <c r="G462">
        <v>1</v>
      </c>
      <c r="H462">
        <v>3000</v>
      </c>
      <c r="I462">
        <v>3000</v>
      </c>
      <c r="J462" t="s">
        <v>15</v>
      </c>
      <c r="K462">
        <v>3</v>
      </c>
    </row>
    <row r="463" spans="1:11" x14ac:dyDescent="0.3">
      <c r="A463">
        <v>1462</v>
      </c>
      <c r="B463" s="2">
        <v>46189.292585170333</v>
      </c>
      <c r="C463" t="s">
        <v>16</v>
      </c>
      <c r="D463" t="s">
        <v>26</v>
      </c>
      <c r="E463" t="s">
        <v>18</v>
      </c>
      <c r="F463" t="s">
        <v>19</v>
      </c>
      <c r="G463">
        <v>1</v>
      </c>
      <c r="H463">
        <v>22000</v>
      </c>
      <c r="I463">
        <v>22000</v>
      </c>
      <c r="J463" t="s">
        <v>31</v>
      </c>
      <c r="K463">
        <v>5</v>
      </c>
    </row>
    <row r="464" spans="1:11" x14ac:dyDescent="0.3">
      <c r="A464">
        <v>1463</v>
      </c>
      <c r="B464" s="2">
        <v>46189.653306613218</v>
      </c>
      <c r="C464" t="s">
        <v>50</v>
      </c>
      <c r="D464" t="s">
        <v>38</v>
      </c>
      <c r="E464" t="s">
        <v>43</v>
      </c>
      <c r="F464" t="s">
        <v>14</v>
      </c>
      <c r="G464">
        <v>2</v>
      </c>
      <c r="H464">
        <v>800</v>
      </c>
      <c r="I464">
        <v>1600</v>
      </c>
      <c r="J464" t="s">
        <v>31</v>
      </c>
      <c r="K464">
        <v>4</v>
      </c>
    </row>
    <row r="465" spans="1:11" x14ac:dyDescent="0.3">
      <c r="A465">
        <v>1464</v>
      </c>
      <c r="B465" s="2">
        <v>46190.01402805611</v>
      </c>
      <c r="C465" t="s">
        <v>46</v>
      </c>
      <c r="D465" t="s">
        <v>44</v>
      </c>
      <c r="E465" t="s">
        <v>43</v>
      </c>
      <c r="F465" t="s">
        <v>14</v>
      </c>
      <c r="G465">
        <v>1</v>
      </c>
      <c r="H465">
        <v>300</v>
      </c>
      <c r="I465">
        <v>300</v>
      </c>
      <c r="J465" t="s">
        <v>15</v>
      </c>
      <c r="K465">
        <v>5</v>
      </c>
    </row>
    <row r="466" spans="1:11" x14ac:dyDescent="0.3">
      <c r="A466">
        <v>1465</v>
      </c>
      <c r="B466" s="2">
        <v>46190.374749498988</v>
      </c>
      <c r="C466" t="s">
        <v>49</v>
      </c>
      <c r="D466" t="s">
        <v>26</v>
      </c>
      <c r="E466" t="s">
        <v>13</v>
      </c>
      <c r="F466" t="s">
        <v>14</v>
      </c>
      <c r="G466">
        <v>2</v>
      </c>
      <c r="H466">
        <v>1500</v>
      </c>
      <c r="I466">
        <v>3000</v>
      </c>
      <c r="J466" t="s">
        <v>15</v>
      </c>
      <c r="K466">
        <v>4</v>
      </c>
    </row>
    <row r="467" spans="1:11" x14ac:dyDescent="0.3">
      <c r="A467">
        <v>1466</v>
      </c>
      <c r="B467" s="2">
        <v>46190.735470941872</v>
      </c>
      <c r="C467" t="s">
        <v>11</v>
      </c>
      <c r="D467" t="s">
        <v>17</v>
      </c>
      <c r="E467" t="s">
        <v>39</v>
      </c>
      <c r="F467" t="s">
        <v>19</v>
      </c>
      <c r="G467">
        <v>1</v>
      </c>
      <c r="H467">
        <v>25000</v>
      </c>
      <c r="I467">
        <v>25000</v>
      </c>
      <c r="J467" t="s">
        <v>20</v>
      </c>
      <c r="K467">
        <v>5</v>
      </c>
    </row>
    <row r="468" spans="1:11" x14ac:dyDescent="0.3">
      <c r="A468">
        <v>1467</v>
      </c>
      <c r="B468" s="2">
        <v>46191.096192384772</v>
      </c>
      <c r="C468" t="s">
        <v>30</v>
      </c>
      <c r="D468" t="s">
        <v>44</v>
      </c>
      <c r="E468" t="s">
        <v>39</v>
      </c>
      <c r="F468" t="s">
        <v>19</v>
      </c>
      <c r="G468">
        <v>1</v>
      </c>
      <c r="H468">
        <v>25000</v>
      </c>
      <c r="I468">
        <v>25000</v>
      </c>
      <c r="J468" t="s">
        <v>15</v>
      </c>
      <c r="K468">
        <v>5</v>
      </c>
    </row>
    <row r="469" spans="1:11" x14ac:dyDescent="0.3">
      <c r="A469">
        <v>1468</v>
      </c>
      <c r="B469" s="2">
        <v>46191.456913827649</v>
      </c>
      <c r="C469" t="s">
        <v>42</v>
      </c>
      <c r="D469" t="s">
        <v>22</v>
      </c>
      <c r="E469" t="s">
        <v>23</v>
      </c>
      <c r="F469" t="s">
        <v>24</v>
      </c>
      <c r="G469">
        <v>1</v>
      </c>
      <c r="H469">
        <v>14000</v>
      </c>
      <c r="I469">
        <v>14000</v>
      </c>
      <c r="J469" t="s">
        <v>15</v>
      </c>
      <c r="K469">
        <v>4</v>
      </c>
    </row>
    <row r="470" spans="1:11" x14ac:dyDescent="0.3">
      <c r="A470">
        <v>1469</v>
      </c>
      <c r="B470" s="2">
        <v>46191.817635270527</v>
      </c>
      <c r="C470" t="s">
        <v>30</v>
      </c>
      <c r="D470" t="s">
        <v>22</v>
      </c>
      <c r="E470" t="s">
        <v>23</v>
      </c>
      <c r="F470" t="s">
        <v>24</v>
      </c>
      <c r="G470">
        <v>2</v>
      </c>
      <c r="H470">
        <v>14000</v>
      </c>
      <c r="I470">
        <v>28000</v>
      </c>
      <c r="J470" t="s">
        <v>15</v>
      </c>
      <c r="K470">
        <v>4</v>
      </c>
    </row>
    <row r="471" spans="1:11" x14ac:dyDescent="0.3">
      <c r="A471">
        <v>1470</v>
      </c>
      <c r="B471" s="2">
        <v>46192.178356713433</v>
      </c>
      <c r="C471" t="s">
        <v>41</v>
      </c>
      <c r="D471" t="s">
        <v>12</v>
      </c>
      <c r="E471" t="s">
        <v>27</v>
      </c>
      <c r="F471" t="s">
        <v>19</v>
      </c>
      <c r="G471">
        <v>2</v>
      </c>
      <c r="H471">
        <v>55000</v>
      </c>
      <c r="I471">
        <v>110000</v>
      </c>
      <c r="J471" t="s">
        <v>15</v>
      </c>
      <c r="K471">
        <v>5</v>
      </c>
    </row>
    <row r="472" spans="1:11" x14ac:dyDescent="0.3">
      <c r="A472">
        <v>1471</v>
      </c>
      <c r="B472" s="2">
        <v>46192.539078156311</v>
      </c>
      <c r="C472" t="s">
        <v>25</v>
      </c>
      <c r="D472" t="s">
        <v>26</v>
      </c>
      <c r="E472" t="s">
        <v>23</v>
      </c>
      <c r="F472" t="s">
        <v>24</v>
      </c>
      <c r="G472">
        <v>2</v>
      </c>
      <c r="H472">
        <v>13500</v>
      </c>
      <c r="I472">
        <v>27000</v>
      </c>
      <c r="J472" t="s">
        <v>15</v>
      </c>
      <c r="K472">
        <v>4</v>
      </c>
    </row>
    <row r="473" spans="1:11" x14ac:dyDescent="0.3">
      <c r="A473">
        <v>1472</v>
      </c>
      <c r="B473" s="2">
        <v>46192.899799599189</v>
      </c>
      <c r="C473" t="s">
        <v>16</v>
      </c>
      <c r="D473" t="s">
        <v>26</v>
      </c>
      <c r="E473" t="s">
        <v>39</v>
      </c>
      <c r="F473" t="s">
        <v>19</v>
      </c>
      <c r="G473">
        <v>1</v>
      </c>
      <c r="H473">
        <v>24500</v>
      </c>
      <c r="I473">
        <v>24500</v>
      </c>
      <c r="J473" t="s">
        <v>31</v>
      </c>
      <c r="K473">
        <v>5</v>
      </c>
    </row>
    <row r="474" spans="1:11" x14ac:dyDescent="0.3">
      <c r="A474">
        <v>1473</v>
      </c>
      <c r="B474" s="2">
        <v>46193.260521042081</v>
      </c>
      <c r="C474" t="s">
        <v>50</v>
      </c>
      <c r="D474" t="s">
        <v>26</v>
      </c>
      <c r="E474" t="s">
        <v>13</v>
      </c>
      <c r="F474" t="s">
        <v>14</v>
      </c>
      <c r="G474">
        <v>2</v>
      </c>
      <c r="H474">
        <v>1500</v>
      </c>
      <c r="I474">
        <v>3000</v>
      </c>
      <c r="J474" t="s">
        <v>15</v>
      </c>
      <c r="K474">
        <v>4</v>
      </c>
    </row>
    <row r="475" spans="1:11" x14ac:dyDescent="0.3">
      <c r="A475">
        <v>1474</v>
      </c>
      <c r="B475" s="2">
        <v>46193.621242484973</v>
      </c>
      <c r="C475" t="s">
        <v>42</v>
      </c>
      <c r="D475" t="s">
        <v>44</v>
      </c>
      <c r="E475" t="s">
        <v>29</v>
      </c>
      <c r="F475" t="s">
        <v>19</v>
      </c>
      <c r="G475">
        <v>3</v>
      </c>
      <c r="H475">
        <v>12500</v>
      </c>
      <c r="I475">
        <v>37500</v>
      </c>
      <c r="J475" t="s">
        <v>20</v>
      </c>
      <c r="K475">
        <v>5</v>
      </c>
    </row>
    <row r="476" spans="1:11" x14ac:dyDescent="0.3">
      <c r="A476">
        <v>1475</v>
      </c>
      <c r="B476" s="2">
        <v>46193.98196392785</v>
      </c>
      <c r="C476" t="s">
        <v>16</v>
      </c>
      <c r="D476" t="s">
        <v>26</v>
      </c>
      <c r="E476" t="s">
        <v>18</v>
      </c>
      <c r="F476" t="s">
        <v>19</v>
      </c>
      <c r="G476">
        <v>1</v>
      </c>
      <c r="H476">
        <v>22000</v>
      </c>
      <c r="I476">
        <v>22000</v>
      </c>
      <c r="J476" t="s">
        <v>31</v>
      </c>
      <c r="K476">
        <v>4</v>
      </c>
    </row>
    <row r="477" spans="1:11" x14ac:dyDescent="0.3">
      <c r="A477">
        <v>1476</v>
      </c>
      <c r="B477" s="2">
        <v>46194.342685370742</v>
      </c>
      <c r="C477" t="s">
        <v>32</v>
      </c>
      <c r="D477" t="s">
        <v>38</v>
      </c>
      <c r="E477" t="s">
        <v>27</v>
      </c>
      <c r="F477" t="s">
        <v>19</v>
      </c>
      <c r="G477">
        <v>2</v>
      </c>
      <c r="H477">
        <v>55000</v>
      </c>
      <c r="I477">
        <v>110000</v>
      </c>
      <c r="J477" t="s">
        <v>20</v>
      </c>
      <c r="K477">
        <v>4</v>
      </c>
    </row>
    <row r="478" spans="1:11" x14ac:dyDescent="0.3">
      <c r="A478">
        <v>1477</v>
      </c>
      <c r="B478" s="2">
        <v>46194.70340681362</v>
      </c>
      <c r="C478" t="s">
        <v>50</v>
      </c>
      <c r="D478" t="s">
        <v>26</v>
      </c>
      <c r="E478" t="s">
        <v>18</v>
      </c>
      <c r="F478" t="s">
        <v>19</v>
      </c>
      <c r="G478">
        <v>1</v>
      </c>
      <c r="H478">
        <v>22000</v>
      </c>
      <c r="I478">
        <v>22000</v>
      </c>
      <c r="J478" t="s">
        <v>15</v>
      </c>
      <c r="K478">
        <v>2</v>
      </c>
    </row>
    <row r="479" spans="1:11" x14ac:dyDescent="0.3">
      <c r="A479">
        <v>1478</v>
      </c>
      <c r="B479" s="2">
        <v>46195.064128256497</v>
      </c>
      <c r="C479" t="s">
        <v>25</v>
      </c>
      <c r="D479" t="s">
        <v>17</v>
      </c>
      <c r="E479" t="s">
        <v>33</v>
      </c>
      <c r="F479" t="s">
        <v>14</v>
      </c>
      <c r="G479">
        <v>1</v>
      </c>
      <c r="H479">
        <v>2500</v>
      </c>
      <c r="I479">
        <v>2500</v>
      </c>
      <c r="J479" t="s">
        <v>31</v>
      </c>
      <c r="K479">
        <v>5</v>
      </c>
    </row>
    <row r="480" spans="1:11" x14ac:dyDescent="0.3">
      <c r="A480">
        <v>1479</v>
      </c>
      <c r="B480" s="2">
        <v>46195.424849699397</v>
      </c>
      <c r="C480" t="s">
        <v>28</v>
      </c>
      <c r="D480" t="s">
        <v>12</v>
      </c>
      <c r="E480" t="s">
        <v>27</v>
      </c>
      <c r="F480" t="s">
        <v>19</v>
      </c>
      <c r="G480">
        <v>2</v>
      </c>
      <c r="H480">
        <v>55000</v>
      </c>
      <c r="I480">
        <v>110000</v>
      </c>
      <c r="J480" t="s">
        <v>31</v>
      </c>
      <c r="K480">
        <v>4</v>
      </c>
    </row>
    <row r="481" spans="1:11" x14ac:dyDescent="0.3">
      <c r="A481">
        <v>1480</v>
      </c>
      <c r="B481" s="2">
        <v>46195.785571142282</v>
      </c>
      <c r="C481" t="s">
        <v>30</v>
      </c>
      <c r="D481" t="s">
        <v>22</v>
      </c>
      <c r="E481" t="s">
        <v>29</v>
      </c>
      <c r="F481" t="s">
        <v>19</v>
      </c>
      <c r="G481">
        <v>3</v>
      </c>
      <c r="H481">
        <v>11500</v>
      </c>
      <c r="I481">
        <v>34500</v>
      </c>
      <c r="J481" t="s">
        <v>15</v>
      </c>
      <c r="K481">
        <v>4</v>
      </c>
    </row>
    <row r="482" spans="1:11" x14ac:dyDescent="0.3">
      <c r="A482">
        <v>1481</v>
      </c>
      <c r="B482" s="2">
        <v>46196.146292585159</v>
      </c>
      <c r="C482" t="s">
        <v>41</v>
      </c>
      <c r="D482" t="s">
        <v>26</v>
      </c>
      <c r="E482" t="s">
        <v>43</v>
      </c>
      <c r="F482" t="s">
        <v>14</v>
      </c>
      <c r="G482">
        <v>1</v>
      </c>
      <c r="H482">
        <v>800</v>
      </c>
      <c r="I482">
        <v>800</v>
      </c>
      <c r="J482" t="s">
        <v>31</v>
      </c>
      <c r="K482">
        <v>5</v>
      </c>
    </row>
    <row r="483" spans="1:11" x14ac:dyDescent="0.3">
      <c r="A483">
        <v>1482</v>
      </c>
      <c r="B483" s="2">
        <v>46196.507014028059</v>
      </c>
      <c r="C483" t="s">
        <v>51</v>
      </c>
      <c r="D483" t="s">
        <v>38</v>
      </c>
      <c r="E483" t="s">
        <v>27</v>
      </c>
      <c r="F483" t="s">
        <v>19</v>
      </c>
      <c r="G483">
        <v>4</v>
      </c>
      <c r="H483">
        <v>55000</v>
      </c>
      <c r="I483">
        <v>220000</v>
      </c>
      <c r="J483" t="s">
        <v>31</v>
      </c>
      <c r="K483">
        <v>4</v>
      </c>
    </row>
    <row r="484" spans="1:11" x14ac:dyDescent="0.3">
      <c r="A484">
        <v>1483</v>
      </c>
      <c r="B484" s="2">
        <v>46196.867735470943</v>
      </c>
      <c r="C484" t="s">
        <v>35</v>
      </c>
      <c r="D484" t="s">
        <v>38</v>
      </c>
      <c r="E484" t="s">
        <v>39</v>
      </c>
      <c r="F484" t="s">
        <v>19</v>
      </c>
      <c r="G484">
        <v>1</v>
      </c>
      <c r="H484">
        <v>25000</v>
      </c>
      <c r="I484">
        <v>25000</v>
      </c>
      <c r="J484" t="s">
        <v>45</v>
      </c>
      <c r="K484">
        <v>4</v>
      </c>
    </row>
    <row r="485" spans="1:11" x14ac:dyDescent="0.3">
      <c r="A485">
        <v>1484</v>
      </c>
      <c r="B485" s="2">
        <v>46197.228456913821</v>
      </c>
      <c r="C485" t="s">
        <v>49</v>
      </c>
      <c r="D485" t="s">
        <v>26</v>
      </c>
      <c r="E485" t="s">
        <v>43</v>
      </c>
      <c r="F485" t="s">
        <v>14</v>
      </c>
      <c r="G485">
        <v>3</v>
      </c>
      <c r="H485">
        <v>800</v>
      </c>
      <c r="I485">
        <v>2400</v>
      </c>
      <c r="J485" t="s">
        <v>45</v>
      </c>
      <c r="K485">
        <v>3</v>
      </c>
    </row>
    <row r="486" spans="1:11" x14ac:dyDescent="0.3">
      <c r="A486">
        <v>1485</v>
      </c>
      <c r="B486" s="2">
        <v>46197.589178356713</v>
      </c>
      <c r="C486" t="s">
        <v>51</v>
      </c>
      <c r="D486" t="s">
        <v>12</v>
      </c>
      <c r="E486" t="s">
        <v>39</v>
      </c>
      <c r="F486" t="s">
        <v>19</v>
      </c>
      <c r="G486">
        <v>1</v>
      </c>
      <c r="H486">
        <v>25000</v>
      </c>
      <c r="I486">
        <v>25000</v>
      </c>
      <c r="J486" t="s">
        <v>31</v>
      </c>
      <c r="K486">
        <v>4</v>
      </c>
    </row>
    <row r="487" spans="1:11" x14ac:dyDescent="0.3">
      <c r="A487">
        <v>1486</v>
      </c>
      <c r="B487" s="2">
        <v>46197.949899799598</v>
      </c>
      <c r="C487" t="s">
        <v>46</v>
      </c>
      <c r="D487" t="s">
        <v>12</v>
      </c>
      <c r="E487" t="s">
        <v>27</v>
      </c>
      <c r="F487" t="s">
        <v>19</v>
      </c>
      <c r="G487">
        <v>3</v>
      </c>
      <c r="H487">
        <v>55000</v>
      </c>
      <c r="I487">
        <v>165000</v>
      </c>
      <c r="J487" t="s">
        <v>15</v>
      </c>
      <c r="K487">
        <v>4</v>
      </c>
    </row>
    <row r="488" spans="1:11" x14ac:dyDescent="0.3">
      <c r="A488">
        <v>1487</v>
      </c>
      <c r="B488" s="2">
        <v>46198.310621242483</v>
      </c>
      <c r="C488" t="s">
        <v>32</v>
      </c>
      <c r="D488" t="s">
        <v>17</v>
      </c>
      <c r="E488" t="s">
        <v>33</v>
      </c>
      <c r="F488" t="s">
        <v>14</v>
      </c>
      <c r="G488">
        <v>1</v>
      </c>
      <c r="H488">
        <v>2500</v>
      </c>
      <c r="I488">
        <v>2500</v>
      </c>
      <c r="J488" t="s">
        <v>15</v>
      </c>
      <c r="K488">
        <v>5</v>
      </c>
    </row>
    <row r="489" spans="1:11" x14ac:dyDescent="0.3">
      <c r="A489">
        <v>1488</v>
      </c>
      <c r="B489" s="2">
        <v>46198.671342685368</v>
      </c>
      <c r="C489" t="s">
        <v>51</v>
      </c>
      <c r="D489" t="s">
        <v>44</v>
      </c>
      <c r="E489" t="s">
        <v>13</v>
      </c>
      <c r="F489" t="s">
        <v>14</v>
      </c>
      <c r="G489">
        <v>2</v>
      </c>
      <c r="H489">
        <v>1500</v>
      </c>
      <c r="I489">
        <v>3000</v>
      </c>
      <c r="J489" t="s">
        <v>15</v>
      </c>
      <c r="K489">
        <v>3</v>
      </c>
    </row>
    <row r="490" spans="1:11" x14ac:dyDescent="0.3">
      <c r="A490">
        <v>1489</v>
      </c>
      <c r="B490" s="2">
        <v>46199.032064128252</v>
      </c>
      <c r="C490" t="s">
        <v>36</v>
      </c>
      <c r="D490" t="s">
        <v>17</v>
      </c>
      <c r="E490" t="s">
        <v>43</v>
      </c>
      <c r="F490" t="s">
        <v>14</v>
      </c>
      <c r="G490">
        <v>2</v>
      </c>
      <c r="H490">
        <v>800</v>
      </c>
      <c r="I490">
        <v>1600</v>
      </c>
      <c r="J490" t="s">
        <v>31</v>
      </c>
      <c r="K490">
        <v>5</v>
      </c>
    </row>
    <row r="491" spans="1:11" x14ac:dyDescent="0.3">
      <c r="A491">
        <v>1490</v>
      </c>
      <c r="B491" s="2">
        <v>46199.392785571137</v>
      </c>
      <c r="C491" t="s">
        <v>42</v>
      </c>
      <c r="D491" t="s">
        <v>22</v>
      </c>
      <c r="E491" t="s">
        <v>27</v>
      </c>
      <c r="F491" t="s">
        <v>19</v>
      </c>
      <c r="G491">
        <v>4</v>
      </c>
      <c r="H491">
        <v>55000</v>
      </c>
      <c r="I491">
        <v>220000</v>
      </c>
      <c r="J491" t="s">
        <v>15</v>
      </c>
      <c r="K491">
        <v>4</v>
      </c>
    </row>
    <row r="492" spans="1:11" x14ac:dyDescent="0.3">
      <c r="A492">
        <v>1491</v>
      </c>
      <c r="B492" s="2">
        <v>46199.753507014029</v>
      </c>
      <c r="C492" t="s">
        <v>40</v>
      </c>
      <c r="D492" t="s">
        <v>17</v>
      </c>
      <c r="E492" t="s">
        <v>18</v>
      </c>
      <c r="F492" t="s">
        <v>19</v>
      </c>
      <c r="G492">
        <v>3</v>
      </c>
      <c r="H492">
        <v>22000</v>
      </c>
      <c r="I492">
        <v>66000</v>
      </c>
      <c r="J492" t="s">
        <v>31</v>
      </c>
      <c r="K492">
        <v>4</v>
      </c>
    </row>
    <row r="493" spans="1:11" x14ac:dyDescent="0.3">
      <c r="A493">
        <v>1492</v>
      </c>
      <c r="B493" s="2">
        <v>46200.114228456907</v>
      </c>
      <c r="C493" t="s">
        <v>28</v>
      </c>
      <c r="D493" t="s">
        <v>26</v>
      </c>
      <c r="E493" t="s">
        <v>43</v>
      </c>
      <c r="F493" t="s">
        <v>14</v>
      </c>
      <c r="G493">
        <v>1</v>
      </c>
      <c r="H493">
        <v>800</v>
      </c>
      <c r="I493">
        <v>800</v>
      </c>
      <c r="J493" t="s">
        <v>31</v>
      </c>
      <c r="K493">
        <v>4</v>
      </c>
    </row>
    <row r="494" spans="1:11" x14ac:dyDescent="0.3">
      <c r="A494">
        <v>1493</v>
      </c>
      <c r="B494" s="2">
        <v>46200.474949899792</v>
      </c>
      <c r="C494" t="s">
        <v>48</v>
      </c>
      <c r="D494" t="s">
        <v>17</v>
      </c>
      <c r="E494" t="s">
        <v>43</v>
      </c>
      <c r="F494" t="s">
        <v>14</v>
      </c>
      <c r="G494">
        <v>3</v>
      </c>
      <c r="H494">
        <v>800</v>
      </c>
      <c r="I494">
        <v>2400</v>
      </c>
      <c r="J494" t="s">
        <v>45</v>
      </c>
      <c r="K494">
        <v>5</v>
      </c>
    </row>
    <row r="495" spans="1:11" x14ac:dyDescent="0.3">
      <c r="A495">
        <v>1494</v>
      </c>
      <c r="B495" s="2">
        <v>46200.835671342677</v>
      </c>
      <c r="C495" t="s">
        <v>40</v>
      </c>
      <c r="D495" t="s">
        <v>44</v>
      </c>
      <c r="E495" t="s">
        <v>33</v>
      </c>
      <c r="F495" t="s">
        <v>14</v>
      </c>
      <c r="G495">
        <v>2</v>
      </c>
      <c r="H495">
        <v>2500</v>
      </c>
      <c r="I495">
        <v>5000</v>
      </c>
      <c r="J495" t="s">
        <v>31</v>
      </c>
      <c r="K495">
        <v>4</v>
      </c>
    </row>
    <row r="496" spans="1:11" x14ac:dyDescent="0.3">
      <c r="A496">
        <v>1495</v>
      </c>
      <c r="B496" s="2">
        <v>46201.196392785569</v>
      </c>
      <c r="C496" t="s">
        <v>16</v>
      </c>
      <c r="D496" t="s">
        <v>44</v>
      </c>
      <c r="E496" t="s">
        <v>33</v>
      </c>
      <c r="F496" t="s">
        <v>14</v>
      </c>
      <c r="G496">
        <v>1</v>
      </c>
      <c r="H496">
        <v>2500</v>
      </c>
      <c r="I496">
        <v>2500</v>
      </c>
      <c r="J496" t="s">
        <v>31</v>
      </c>
      <c r="K496">
        <v>4</v>
      </c>
    </row>
    <row r="497" spans="1:11" x14ac:dyDescent="0.3">
      <c r="A497">
        <v>1496</v>
      </c>
      <c r="B497" s="2">
        <v>46201.557114228453</v>
      </c>
      <c r="C497" t="s">
        <v>46</v>
      </c>
      <c r="D497" t="s">
        <v>12</v>
      </c>
      <c r="E497" t="s">
        <v>43</v>
      </c>
      <c r="F497" t="s">
        <v>14</v>
      </c>
      <c r="G497">
        <v>1</v>
      </c>
      <c r="H497">
        <v>300</v>
      </c>
      <c r="I497">
        <v>300</v>
      </c>
      <c r="J497" t="s">
        <v>20</v>
      </c>
      <c r="K497">
        <v>3</v>
      </c>
    </row>
    <row r="498" spans="1:11" x14ac:dyDescent="0.3">
      <c r="A498">
        <v>1497</v>
      </c>
      <c r="B498" s="2">
        <v>46201.917835671353</v>
      </c>
      <c r="C498" t="s">
        <v>42</v>
      </c>
      <c r="D498" t="s">
        <v>17</v>
      </c>
      <c r="E498" t="s">
        <v>29</v>
      </c>
      <c r="F498" t="s">
        <v>19</v>
      </c>
      <c r="G498">
        <v>2</v>
      </c>
      <c r="H498">
        <v>12000</v>
      </c>
      <c r="I498">
        <v>24000</v>
      </c>
      <c r="J498" t="s">
        <v>15</v>
      </c>
      <c r="K498">
        <v>4</v>
      </c>
    </row>
    <row r="499" spans="1:11" x14ac:dyDescent="0.3">
      <c r="A499">
        <v>1498</v>
      </c>
      <c r="B499" s="2">
        <v>46202.278557114223</v>
      </c>
      <c r="C499" t="s">
        <v>37</v>
      </c>
      <c r="D499" t="s">
        <v>38</v>
      </c>
      <c r="E499" t="s">
        <v>43</v>
      </c>
      <c r="F499" t="s">
        <v>14</v>
      </c>
      <c r="G499">
        <v>1</v>
      </c>
      <c r="H499">
        <v>800</v>
      </c>
      <c r="I499">
        <v>800</v>
      </c>
      <c r="J499" t="s">
        <v>31</v>
      </c>
      <c r="K499">
        <v>4</v>
      </c>
    </row>
    <row r="500" spans="1:11" x14ac:dyDescent="0.3">
      <c r="A500">
        <v>1499</v>
      </c>
      <c r="B500" s="2">
        <v>46202.639278557108</v>
      </c>
      <c r="C500" t="s">
        <v>25</v>
      </c>
      <c r="D500" t="s">
        <v>12</v>
      </c>
      <c r="E500" t="s">
        <v>33</v>
      </c>
      <c r="F500" t="s">
        <v>14</v>
      </c>
      <c r="G500">
        <v>2</v>
      </c>
      <c r="H500">
        <v>2500</v>
      </c>
      <c r="I500">
        <v>5000</v>
      </c>
      <c r="J500" t="s">
        <v>15</v>
      </c>
      <c r="K500">
        <v>4</v>
      </c>
    </row>
    <row r="501" spans="1:11" x14ac:dyDescent="0.3">
      <c r="A501">
        <v>1500</v>
      </c>
      <c r="B501" s="2">
        <v>46203</v>
      </c>
      <c r="C501" t="s">
        <v>50</v>
      </c>
      <c r="D501" t="s">
        <v>44</v>
      </c>
      <c r="E501" t="s">
        <v>13</v>
      </c>
      <c r="F501" t="s">
        <v>14</v>
      </c>
      <c r="G501">
        <v>3</v>
      </c>
      <c r="H501">
        <v>1500</v>
      </c>
      <c r="I501">
        <v>4500</v>
      </c>
      <c r="J501" t="s">
        <v>31</v>
      </c>
      <c r="K501">
        <v>4</v>
      </c>
    </row>
  </sheetData>
  <dataConsolidate/>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D1783-162D-4EE9-905E-33459FBC8537}">
  <dimension ref="A1:B6"/>
  <sheetViews>
    <sheetView workbookViewId="0">
      <selection activeCell="B7" sqref="B7"/>
    </sheetView>
  </sheetViews>
  <sheetFormatPr defaultRowHeight="14.4" x14ac:dyDescent="0.3"/>
  <cols>
    <col min="1" max="1" width="17.21875" bestFit="1" customWidth="1"/>
  </cols>
  <sheetData>
    <row r="1" spans="1:2" x14ac:dyDescent="0.3">
      <c r="A1" t="s">
        <v>60</v>
      </c>
      <c r="B1" t="s">
        <v>61</v>
      </c>
    </row>
    <row r="2" spans="1:2" x14ac:dyDescent="0.3">
      <c r="A2" t="s">
        <v>62</v>
      </c>
      <c r="B2">
        <f>SUM(clean_data!I2:I501)</f>
        <v>17030800</v>
      </c>
    </row>
    <row r="3" spans="1:2" x14ac:dyDescent="0.3">
      <c r="A3" t="s">
        <v>64</v>
      </c>
      <c r="B3">
        <f>COUNTA(clean_data!A2:A501)</f>
        <v>500</v>
      </c>
    </row>
    <row r="4" spans="1:2" x14ac:dyDescent="0.3">
      <c r="A4" t="s">
        <v>63</v>
      </c>
      <c r="B4">
        <f>SUM(clean_data!G2:G501)</f>
        <v>946</v>
      </c>
    </row>
    <row r="5" spans="1:2" x14ac:dyDescent="0.3">
      <c r="A5" t="s">
        <v>65</v>
      </c>
      <c r="B5">
        <f>B2/B3</f>
        <v>34061.599999999999</v>
      </c>
    </row>
    <row r="6" spans="1:2" x14ac:dyDescent="0.3">
      <c r="A6" t="s">
        <v>66</v>
      </c>
      <c r="B6">
        <f>AVERAGE(clean_data!K2:K501)</f>
        <v>4.2439999999999998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38553-F634-4B3C-A196-14A681878A2E}">
  <dimension ref="A1:I44"/>
  <sheetViews>
    <sheetView tabSelected="1" topLeftCell="A9" zoomScale="70" workbookViewId="0">
      <selection activeCell="W6" sqref="W6"/>
    </sheetView>
  </sheetViews>
  <sheetFormatPr defaultRowHeight="14.4" x14ac:dyDescent="0.3"/>
  <cols>
    <col min="1" max="1" width="12.6640625" customWidth="1"/>
    <col min="3" max="3" width="10.5546875" bestFit="1" customWidth="1"/>
    <col min="5" max="5" width="12" bestFit="1" customWidth="1"/>
    <col min="7" max="7" width="18.109375" bestFit="1" customWidth="1"/>
    <col min="9" max="9" width="12.5546875" bestFit="1" customWidth="1"/>
  </cols>
  <sheetData>
    <row r="1" spans="1:9" ht="27.6" x14ac:dyDescent="0.45">
      <c r="A1" s="6" t="s">
        <v>71</v>
      </c>
    </row>
    <row r="3" spans="1:9" x14ac:dyDescent="0.3">
      <c r="A3" s="7" t="str">
        <f>PROPER("total sales")</f>
        <v>Total Sales</v>
      </c>
      <c r="B3" s="7"/>
      <c r="C3" s="7" t="str">
        <f>PROPER("total orders")</f>
        <v>Total Orders</v>
      </c>
      <c r="D3" s="7"/>
      <c r="E3" s="7" t="str">
        <f>PROPER("total quantity")</f>
        <v>Total Quantity</v>
      </c>
      <c r="F3" s="7"/>
      <c r="G3" s="7" t="s">
        <v>73</v>
      </c>
      <c r="H3" s="7"/>
      <c r="I3" s="7" t="s">
        <v>72</v>
      </c>
    </row>
    <row r="4" spans="1:9" x14ac:dyDescent="0.3">
      <c r="A4" s="7"/>
      <c r="B4" s="7"/>
      <c r="C4" s="7"/>
      <c r="D4" s="7"/>
      <c r="E4" s="7"/>
      <c r="F4" s="7"/>
      <c r="G4" s="7"/>
      <c r="H4" s="7"/>
      <c r="I4" s="7"/>
    </row>
    <row r="5" spans="1:9" x14ac:dyDescent="0.3">
      <c r="A5" s="8">
        <v>17030800</v>
      </c>
      <c r="B5" s="7"/>
      <c r="C5" s="7">
        <v>500</v>
      </c>
      <c r="D5" s="7"/>
      <c r="E5" s="7">
        <v>946</v>
      </c>
      <c r="F5" s="7"/>
      <c r="G5" s="9">
        <v>34061.599999999999</v>
      </c>
      <c r="H5" s="7"/>
      <c r="I5" s="7">
        <v>4.24</v>
      </c>
    </row>
    <row r="38" spans="1:1" ht="24.6" x14ac:dyDescent="0.4">
      <c r="A38" s="11" t="s">
        <v>74</v>
      </c>
    </row>
    <row r="41" spans="1:1" ht="15.6" x14ac:dyDescent="0.3">
      <c r="A41" s="12" t="s">
        <v>75</v>
      </c>
    </row>
    <row r="42" spans="1:1" s="12" customFormat="1" ht="15.6" x14ac:dyDescent="0.3">
      <c r="A42" s="12" t="s">
        <v>76</v>
      </c>
    </row>
    <row r="43" spans="1:1" s="12" customFormat="1" ht="15.6" x14ac:dyDescent="0.3">
      <c r="A43" s="12" t="s">
        <v>77</v>
      </c>
    </row>
    <row r="44" spans="1:1" s="12" customFormat="1" ht="15.6" x14ac:dyDescent="0.3">
      <c r="A44" s="12" t="s">
        <v>78</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B5" sqref="B5"/>
    </sheetView>
  </sheetViews>
  <sheetFormatPr defaultRowHeight="14.4" x14ac:dyDescent="0.3"/>
  <sheetData>
    <row r="1" spans="1:2" x14ac:dyDescent="0.3">
      <c r="A1" s="1" t="s">
        <v>52</v>
      </c>
      <c r="B1" s="1" t="s">
        <v>53</v>
      </c>
    </row>
    <row r="2" spans="1:2" x14ac:dyDescent="0.3">
      <c r="A2" t="s">
        <v>54</v>
      </c>
      <c r="B2" t="s">
        <v>55</v>
      </c>
    </row>
    <row r="3" spans="1:2" x14ac:dyDescent="0.3">
      <c r="A3" t="s">
        <v>56</v>
      </c>
      <c r="B3" t="s">
        <v>57</v>
      </c>
    </row>
    <row r="4" spans="1:2" x14ac:dyDescent="0.3">
      <c r="A4" t="s">
        <v>58</v>
      </c>
      <c r="B4">
        <v>500</v>
      </c>
    </row>
    <row r="5" spans="1:2" x14ac:dyDescent="0.3">
      <c r="A5" t="s">
        <v>59</v>
      </c>
      <c r="B5">
        <v>503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workbookViewId="0">
      <selection activeCell="G18" sqref="G18"/>
    </sheetView>
  </sheetViews>
  <sheetFormatPr defaultRowHeight="14.4" x14ac:dyDescent="0.3"/>
  <cols>
    <col min="1" max="1" width="10.44140625" customWidth="1"/>
    <col min="2" max="2" width="18.109375" bestFit="1" customWidth="1"/>
    <col min="3" max="3" width="11" customWidth="1"/>
    <col min="5" max="5" width="9.5546875" customWidth="1"/>
    <col min="6" max="6" width="10.44140625" customWidth="1"/>
    <col min="7" max="7" width="10.21875" customWidth="1"/>
    <col min="8" max="8" width="11.5546875" customWidth="1"/>
    <col min="10" max="10" width="10.44140625" customWidth="1"/>
  </cols>
  <sheetData>
    <row r="1" spans="1:11" x14ac:dyDescent="0.3">
      <c r="A1" s="3" t="s">
        <v>0</v>
      </c>
      <c r="B1" s="3" t="s">
        <v>1</v>
      </c>
      <c r="C1" s="3" t="s">
        <v>2</v>
      </c>
      <c r="D1" s="3" t="s">
        <v>3</v>
      </c>
      <c r="E1" s="3" t="s">
        <v>4</v>
      </c>
      <c r="F1" s="3" t="s">
        <v>5</v>
      </c>
      <c r="G1" s="3" t="s">
        <v>6</v>
      </c>
      <c r="H1" s="3" t="s">
        <v>7</v>
      </c>
      <c r="I1" s="3" t="s">
        <v>8</v>
      </c>
      <c r="J1" s="3" t="s">
        <v>9</v>
      </c>
      <c r="K1" s="3" t="s">
        <v>10</v>
      </c>
    </row>
    <row r="2" spans="1:11" x14ac:dyDescent="0.3">
      <c r="A2">
        <v>1001</v>
      </c>
      <c r="B2" s="2">
        <v>46023</v>
      </c>
      <c r="C2" t="s">
        <v>11</v>
      </c>
      <c r="D2" t="s">
        <v>12</v>
      </c>
      <c r="E2" t="s">
        <v>13</v>
      </c>
      <c r="F2" t="s">
        <v>14</v>
      </c>
      <c r="G2">
        <v>4</v>
      </c>
      <c r="H2">
        <v>1500</v>
      </c>
      <c r="I2">
        <v>6000</v>
      </c>
      <c r="J2" t="s">
        <v>15</v>
      </c>
      <c r="K2">
        <v>3</v>
      </c>
    </row>
    <row r="3" spans="1:11" x14ac:dyDescent="0.3">
      <c r="A3">
        <v>1002</v>
      </c>
      <c r="B3" s="2">
        <v>46023.360721442878</v>
      </c>
      <c r="C3" t="s">
        <v>16</v>
      </c>
      <c r="D3" t="s">
        <v>17</v>
      </c>
      <c r="E3" t="s">
        <v>18</v>
      </c>
      <c r="F3" t="s">
        <v>19</v>
      </c>
      <c r="G3">
        <v>2</v>
      </c>
      <c r="H3">
        <v>22000</v>
      </c>
      <c r="I3">
        <v>44000</v>
      </c>
      <c r="J3" t="s">
        <v>20</v>
      </c>
      <c r="K3">
        <v>2</v>
      </c>
    </row>
    <row r="4" spans="1:11" x14ac:dyDescent="0.3">
      <c r="A4">
        <v>1003</v>
      </c>
      <c r="B4" s="2">
        <v>46023.721442885762</v>
      </c>
      <c r="C4" t="s">
        <v>21</v>
      </c>
      <c r="D4" t="s">
        <v>22</v>
      </c>
      <c r="E4" t="s">
        <v>23</v>
      </c>
      <c r="F4" t="s">
        <v>24</v>
      </c>
      <c r="G4">
        <v>2</v>
      </c>
      <c r="H4">
        <v>14000</v>
      </c>
      <c r="I4">
        <v>28000</v>
      </c>
      <c r="J4" t="s">
        <v>15</v>
      </c>
      <c r="K4">
        <v>5</v>
      </c>
    </row>
    <row r="5" spans="1:11" x14ac:dyDescent="0.3">
      <c r="A5">
        <v>1004</v>
      </c>
      <c r="B5" s="2">
        <v>46024.082164328647</v>
      </c>
      <c r="C5" t="s">
        <v>25</v>
      </c>
      <c r="D5" t="s">
        <v>26</v>
      </c>
      <c r="E5" t="s">
        <v>27</v>
      </c>
      <c r="F5" t="s">
        <v>19</v>
      </c>
      <c r="G5">
        <v>1</v>
      </c>
      <c r="H5">
        <v>55000</v>
      </c>
      <c r="I5">
        <v>55000</v>
      </c>
      <c r="J5" t="s">
        <v>15</v>
      </c>
      <c r="K5">
        <v>4</v>
      </c>
    </row>
    <row r="6" spans="1:11" x14ac:dyDescent="0.3">
      <c r="A6">
        <v>1005</v>
      </c>
      <c r="B6" s="2">
        <v>46024.442885771539</v>
      </c>
      <c r="C6" t="s">
        <v>28</v>
      </c>
      <c r="D6" t="s">
        <v>12</v>
      </c>
      <c r="E6" t="s">
        <v>29</v>
      </c>
      <c r="F6" t="s">
        <v>19</v>
      </c>
      <c r="G6">
        <v>1</v>
      </c>
      <c r="H6">
        <v>12000</v>
      </c>
      <c r="I6">
        <v>12000</v>
      </c>
      <c r="J6" t="s">
        <v>20</v>
      </c>
      <c r="K6">
        <v>5</v>
      </c>
    </row>
    <row r="7" spans="1:11" x14ac:dyDescent="0.3">
      <c r="A7">
        <v>1006</v>
      </c>
      <c r="B7" s="2">
        <v>46024.803607214417</v>
      </c>
      <c r="C7" t="s">
        <v>30</v>
      </c>
      <c r="D7" t="s">
        <v>17</v>
      </c>
      <c r="E7" t="s">
        <v>18</v>
      </c>
      <c r="F7" t="s">
        <v>19</v>
      </c>
      <c r="G7">
        <v>1</v>
      </c>
      <c r="H7">
        <v>21500</v>
      </c>
      <c r="I7">
        <v>21500</v>
      </c>
      <c r="J7" t="s">
        <v>31</v>
      </c>
      <c r="K7">
        <v>3</v>
      </c>
    </row>
    <row r="8" spans="1:11" x14ac:dyDescent="0.3">
      <c r="A8">
        <v>1007</v>
      </c>
      <c r="B8" s="2">
        <v>46025.164328657302</v>
      </c>
      <c r="C8" t="s">
        <v>32</v>
      </c>
      <c r="D8" t="s">
        <v>12</v>
      </c>
      <c r="E8" t="s">
        <v>33</v>
      </c>
      <c r="F8" t="s">
        <v>14</v>
      </c>
      <c r="G8">
        <v>1</v>
      </c>
      <c r="H8">
        <v>3000</v>
      </c>
      <c r="I8">
        <v>3000</v>
      </c>
      <c r="J8" t="s">
        <v>31</v>
      </c>
      <c r="K8">
        <v>4</v>
      </c>
    </row>
    <row r="9" spans="1:11" x14ac:dyDescent="0.3">
      <c r="A9">
        <v>1008</v>
      </c>
      <c r="B9" s="2">
        <v>46025.525050100186</v>
      </c>
      <c r="C9" t="s">
        <v>34</v>
      </c>
      <c r="D9" t="s">
        <v>12</v>
      </c>
      <c r="E9" t="s">
        <v>33</v>
      </c>
      <c r="F9" t="s">
        <v>14</v>
      </c>
      <c r="G9">
        <v>2</v>
      </c>
      <c r="H9">
        <v>2500</v>
      </c>
      <c r="I9">
        <v>5000</v>
      </c>
      <c r="J9" t="s">
        <v>31</v>
      </c>
      <c r="K9">
        <v>4</v>
      </c>
    </row>
    <row r="10" spans="1:11" x14ac:dyDescent="0.3">
      <c r="A10">
        <v>1009</v>
      </c>
      <c r="B10" s="2">
        <v>46025.885771543079</v>
      </c>
      <c r="C10" t="s">
        <v>35</v>
      </c>
      <c r="D10" t="s">
        <v>17</v>
      </c>
      <c r="E10" t="s">
        <v>23</v>
      </c>
      <c r="F10" t="s">
        <v>24</v>
      </c>
      <c r="G10">
        <v>2</v>
      </c>
      <c r="H10">
        <v>14000</v>
      </c>
      <c r="I10">
        <v>28000</v>
      </c>
      <c r="J10" t="s">
        <v>15</v>
      </c>
      <c r="K10">
        <v>4</v>
      </c>
    </row>
    <row r="11" spans="1:11" x14ac:dyDescent="0.3">
      <c r="A11">
        <v>1010</v>
      </c>
      <c r="B11" s="2">
        <v>46026.246492985963</v>
      </c>
      <c r="C11" t="s">
        <v>36</v>
      </c>
      <c r="D11" t="s">
        <v>22</v>
      </c>
      <c r="E11" t="s">
        <v>13</v>
      </c>
      <c r="F11" t="s">
        <v>14</v>
      </c>
      <c r="G11">
        <v>1</v>
      </c>
      <c r="H11">
        <v>1500</v>
      </c>
      <c r="I11">
        <v>1500</v>
      </c>
      <c r="J11" t="s">
        <v>15</v>
      </c>
      <c r="K11">
        <v>4</v>
      </c>
    </row>
    <row r="12" spans="1:11" x14ac:dyDescent="0.3">
      <c r="A12">
        <v>1011</v>
      </c>
      <c r="B12" s="2">
        <v>46026.607214428863</v>
      </c>
      <c r="C12" t="s">
        <v>37</v>
      </c>
      <c r="D12" t="s">
        <v>38</v>
      </c>
      <c r="E12" t="s">
        <v>27</v>
      </c>
      <c r="F12" t="s">
        <v>19</v>
      </c>
      <c r="G12">
        <v>1</v>
      </c>
      <c r="H12">
        <v>55000</v>
      </c>
      <c r="I12">
        <v>55000</v>
      </c>
      <c r="J12" t="s">
        <v>15</v>
      </c>
      <c r="K12">
        <v>5</v>
      </c>
    </row>
    <row r="13" spans="1:11" x14ac:dyDescent="0.3">
      <c r="A13">
        <v>1012</v>
      </c>
      <c r="B13" s="2">
        <v>46026.967935871733</v>
      </c>
      <c r="C13" t="s">
        <v>28</v>
      </c>
      <c r="D13" t="s">
        <v>17</v>
      </c>
      <c r="E13" t="s">
        <v>39</v>
      </c>
      <c r="F13" t="s">
        <v>19</v>
      </c>
      <c r="G13">
        <v>2</v>
      </c>
      <c r="H13">
        <v>25500</v>
      </c>
      <c r="I13">
        <v>51000</v>
      </c>
      <c r="J13" t="s">
        <v>20</v>
      </c>
      <c r="K13">
        <v>5</v>
      </c>
    </row>
    <row r="14" spans="1:11" x14ac:dyDescent="0.3">
      <c r="A14">
        <v>1013</v>
      </c>
      <c r="B14" s="2">
        <v>46027.328657314618</v>
      </c>
      <c r="C14" t="s">
        <v>40</v>
      </c>
      <c r="D14" t="s">
        <v>38</v>
      </c>
      <c r="E14" t="s">
        <v>13</v>
      </c>
      <c r="F14" t="s">
        <v>14</v>
      </c>
      <c r="G14">
        <v>1</v>
      </c>
      <c r="H14">
        <v>1500</v>
      </c>
      <c r="I14">
        <v>1500</v>
      </c>
      <c r="J14" t="s">
        <v>31</v>
      </c>
      <c r="K14">
        <v>4</v>
      </c>
    </row>
    <row r="15" spans="1:11" x14ac:dyDescent="0.3">
      <c r="A15">
        <v>1014</v>
      </c>
      <c r="B15" s="2">
        <v>46027.68937875751</v>
      </c>
      <c r="C15" t="s">
        <v>41</v>
      </c>
      <c r="D15" t="s">
        <v>22</v>
      </c>
      <c r="E15" t="s">
        <v>29</v>
      </c>
      <c r="F15" t="s">
        <v>19</v>
      </c>
      <c r="G15">
        <v>1</v>
      </c>
      <c r="H15">
        <v>12500</v>
      </c>
      <c r="I15">
        <v>12500</v>
      </c>
      <c r="J15" t="s">
        <v>31</v>
      </c>
      <c r="K15">
        <v>4</v>
      </c>
    </row>
    <row r="16" spans="1:11" x14ac:dyDescent="0.3">
      <c r="A16">
        <v>1015</v>
      </c>
      <c r="B16" s="2">
        <v>46028.050100200388</v>
      </c>
      <c r="C16" t="s">
        <v>42</v>
      </c>
      <c r="D16" t="s">
        <v>17</v>
      </c>
      <c r="E16" t="s">
        <v>43</v>
      </c>
      <c r="F16" t="s">
        <v>14</v>
      </c>
      <c r="G16">
        <v>1</v>
      </c>
      <c r="H16">
        <v>800</v>
      </c>
      <c r="I16">
        <v>800</v>
      </c>
      <c r="J16" t="s">
        <v>15</v>
      </c>
      <c r="K16">
        <v>3</v>
      </c>
    </row>
    <row r="17" spans="1:11" x14ac:dyDescent="0.3">
      <c r="A17">
        <v>1016</v>
      </c>
      <c r="B17" s="2">
        <v>46028.410821643272</v>
      </c>
      <c r="C17" t="s">
        <v>40</v>
      </c>
      <c r="D17" t="s">
        <v>44</v>
      </c>
      <c r="E17" t="s">
        <v>29</v>
      </c>
      <c r="F17" t="s">
        <v>19</v>
      </c>
      <c r="G17">
        <v>1</v>
      </c>
      <c r="H17">
        <v>12000</v>
      </c>
      <c r="I17">
        <v>12000</v>
      </c>
      <c r="J17" t="s">
        <v>31</v>
      </c>
      <c r="K17">
        <v>4</v>
      </c>
    </row>
    <row r="18" spans="1:11" x14ac:dyDescent="0.3">
      <c r="A18">
        <v>1017</v>
      </c>
      <c r="B18" s="2">
        <v>46028.771543086172</v>
      </c>
      <c r="C18" t="s">
        <v>16</v>
      </c>
      <c r="D18" t="s">
        <v>12</v>
      </c>
      <c r="E18" t="s">
        <v>23</v>
      </c>
      <c r="F18" t="s">
        <v>24</v>
      </c>
      <c r="G18">
        <v>2</v>
      </c>
      <c r="H18">
        <v>14000</v>
      </c>
      <c r="I18">
        <v>28000</v>
      </c>
      <c r="J18" t="s">
        <v>45</v>
      </c>
      <c r="K18">
        <v>5</v>
      </c>
    </row>
    <row r="19" spans="1:11" x14ac:dyDescent="0.3">
      <c r="A19">
        <v>1018</v>
      </c>
      <c r="B19" s="2">
        <v>46029.132264529049</v>
      </c>
      <c r="C19" t="s">
        <v>46</v>
      </c>
      <c r="D19" t="s">
        <v>12</v>
      </c>
      <c r="E19" t="s">
        <v>18</v>
      </c>
      <c r="F19" t="s">
        <v>19</v>
      </c>
      <c r="G19">
        <v>3</v>
      </c>
      <c r="H19">
        <v>22000</v>
      </c>
      <c r="I19">
        <v>66000</v>
      </c>
      <c r="J19" t="s">
        <v>15</v>
      </c>
      <c r="K19">
        <v>4</v>
      </c>
    </row>
    <row r="20" spans="1:11" x14ac:dyDescent="0.3">
      <c r="A20">
        <v>1019</v>
      </c>
      <c r="B20" s="2">
        <v>46029.492985971927</v>
      </c>
      <c r="C20" t="s">
        <v>30</v>
      </c>
      <c r="D20" t="s">
        <v>44</v>
      </c>
      <c r="E20" t="s">
        <v>23</v>
      </c>
      <c r="F20" t="s">
        <v>24</v>
      </c>
      <c r="G20">
        <v>1</v>
      </c>
      <c r="H20">
        <v>14000</v>
      </c>
      <c r="I20">
        <v>14000</v>
      </c>
      <c r="J20" t="s">
        <v>20</v>
      </c>
      <c r="K20">
        <v>2</v>
      </c>
    </row>
    <row r="21" spans="1:11" x14ac:dyDescent="0.3">
      <c r="A21">
        <v>1020</v>
      </c>
      <c r="B21" s="2">
        <v>46029.853707414833</v>
      </c>
      <c r="C21" t="s">
        <v>47</v>
      </c>
      <c r="D21" t="s">
        <v>12</v>
      </c>
      <c r="E21" t="s">
        <v>33</v>
      </c>
      <c r="F21" t="s">
        <v>14</v>
      </c>
      <c r="G21">
        <v>1</v>
      </c>
      <c r="H21">
        <v>2500</v>
      </c>
      <c r="I21">
        <v>2500</v>
      </c>
      <c r="J21" t="s">
        <v>15</v>
      </c>
      <c r="K21">
        <v>5</v>
      </c>
    </row>
    <row r="22" spans="1:11" x14ac:dyDescent="0.3">
      <c r="A22">
        <v>1021</v>
      </c>
      <c r="B22" s="2">
        <v>46030.214428857711</v>
      </c>
      <c r="C22" t="s">
        <v>48</v>
      </c>
      <c r="D22" t="s">
        <v>26</v>
      </c>
      <c r="E22" t="s">
        <v>13</v>
      </c>
      <c r="F22" t="s">
        <v>14</v>
      </c>
      <c r="G22">
        <v>2</v>
      </c>
      <c r="H22">
        <v>1500</v>
      </c>
      <c r="I22">
        <v>3000</v>
      </c>
      <c r="J22" t="s">
        <v>20</v>
      </c>
      <c r="K22">
        <v>5</v>
      </c>
    </row>
    <row r="23" spans="1:11" x14ac:dyDescent="0.3">
      <c r="A23">
        <v>1022</v>
      </c>
      <c r="B23" s="2">
        <v>46030.575150300589</v>
      </c>
      <c r="C23" t="s">
        <v>48</v>
      </c>
      <c r="D23" t="s">
        <v>22</v>
      </c>
      <c r="E23" t="s">
        <v>43</v>
      </c>
      <c r="F23" t="s">
        <v>14</v>
      </c>
      <c r="G23">
        <v>2</v>
      </c>
      <c r="H23">
        <v>800</v>
      </c>
      <c r="I23">
        <v>1600</v>
      </c>
      <c r="J23" t="s">
        <v>15</v>
      </c>
      <c r="K23">
        <v>5</v>
      </c>
    </row>
    <row r="24" spans="1:11" x14ac:dyDescent="0.3">
      <c r="A24">
        <v>1023</v>
      </c>
      <c r="B24" s="2">
        <v>46030.935871743481</v>
      </c>
      <c r="C24" t="s">
        <v>49</v>
      </c>
      <c r="D24" t="s">
        <v>38</v>
      </c>
      <c r="E24" t="s">
        <v>13</v>
      </c>
      <c r="F24" t="s">
        <v>14</v>
      </c>
      <c r="G24">
        <v>1</v>
      </c>
      <c r="H24">
        <v>1500</v>
      </c>
      <c r="I24">
        <v>1500</v>
      </c>
      <c r="J24" t="s">
        <v>31</v>
      </c>
      <c r="K24">
        <v>4</v>
      </c>
    </row>
    <row r="25" spans="1:11" x14ac:dyDescent="0.3">
      <c r="A25">
        <v>1024</v>
      </c>
      <c r="B25" s="2">
        <v>46031.296593186373</v>
      </c>
      <c r="C25" t="s">
        <v>46</v>
      </c>
      <c r="D25" t="s">
        <v>38</v>
      </c>
      <c r="E25" t="s">
        <v>33</v>
      </c>
      <c r="F25" t="s">
        <v>14</v>
      </c>
      <c r="G25">
        <v>2</v>
      </c>
      <c r="H25">
        <v>2500</v>
      </c>
      <c r="I25">
        <v>5000</v>
      </c>
      <c r="J25" t="s">
        <v>15</v>
      </c>
      <c r="K25">
        <v>5</v>
      </c>
    </row>
    <row r="26" spans="1:11" x14ac:dyDescent="0.3">
      <c r="A26">
        <v>1025</v>
      </c>
      <c r="B26" s="2">
        <v>46031.65731462925</v>
      </c>
      <c r="C26" t="s">
        <v>50</v>
      </c>
      <c r="D26" t="s">
        <v>22</v>
      </c>
      <c r="E26" t="s">
        <v>33</v>
      </c>
      <c r="F26" t="s">
        <v>14</v>
      </c>
      <c r="G26">
        <v>5</v>
      </c>
      <c r="H26">
        <v>2500</v>
      </c>
      <c r="I26">
        <v>12500</v>
      </c>
      <c r="J26" t="s">
        <v>15</v>
      </c>
      <c r="K26">
        <v>4</v>
      </c>
    </row>
    <row r="27" spans="1:11" x14ac:dyDescent="0.3">
      <c r="A27">
        <v>1026</v>
      </c>
      <c r="B27" s="2">
        <v>46032.018036072142</v>
      </c>
      <c r="C27" t="s">
        <v>32</v>
      </c>
      <c r="D27" t="s">
        <v>38</v>
      </c>
      <c r="E27" t="s">
        <v>39</v>
      </c>
      <c r="F27" t="s">
        <v>19</v>
      </c>
      <c r="G27">
        <v>3</v>
      </c>
      <c r="H27">
        <v>25000</v>
      </c>
      <c r="I27">
        <v>75000</v>
      </c>
      <c r="J27" t="s">
        <v>31</v>
      </c>
      <c r="K27">
        <v>5</v>
      </c>
    </row>
    <row r="28" spans="1:11" x14ac:dyDescent="0.3">
      <c r="A28">
        <v>1027</v>
      </c>
      <c r="B28" s="2">
        <v>46032.37875751502</v>
      </c>
      <c r="C28" t="s">
        <v>37</v>
      </c>
      <c r="D28" t="s">
        <v>12</v>
      </c>
      <c r="E28" t="s">
        <v>13</v>
      </c>
      <c r="F28" t="s">
        <v>14</v>
      </c>
      <c r="G28">
        <v>1</v>
      </c>
      <c r="H28">
        <v>2000</v>
      </c>
      <c r="I28">
        <v>2000</v>
      </c>
      <c r="J28" t="s">
        <v>45</v>
      </c>
      <c r="K28">
        <v>5</v>
      </c>
    </row>
    <row r="29" spans="1:11" x14ac:dyDescent="0.3">
      <c r="A29">
        <v>1028</v>
      </c>
      <c r="B29" s="2">
        <v>46032.739478957898</v>
      </c>
      <c r="C29" t="s">
        <v>42</v>
      </c>
      <c r="D29" t="s">
        <v>38</v>
      </c>
      <c r="E29" t="s">
        <v>39</v>
      </c>
      <c r="F29" t="s">
        <v>19</v>
      </c>
      <c r="G29">
        <v>1</v>
      </c>
      <c r="H29">
        <v>25000</v>
      </c>
      <c r="I29">
        <v>25000</v>
      </c>
      <c r="J29" t="s">
        <v>15</v>
      </c>
      <c r="K29">
        <v>4</v>
      </c>
    </row>
    <row r="30" spans="1:11" x14ac:dyDescent="0.3">
      <c r="A30">
        <v>1029</v>
      </c>
      <c r="B30" s="2">
        <v>46033.100200400797</v>
      </c>
      <c r="C30" t="s">
        <v>49</v>
      </c>
      <c r="D30" t="s">
        <v>26</v>
      </c>
      <c r="E30" t="s">
        <v>23</v>
      </c>
      <c r="F30" t="s">
        <v>24</v>
      </c>
      <c r="G30">
        <v>2</v>
      </c>
      <c r="H30">
        <v>14000</v>
      </c>
      <c r="I30">
        <v>28000</v>
      </c>
      <c r="J30" t="s">
        <v>20</v>
      </c>
      <c r="K30">
        <v>5</v>
      </c>
    </row>
    <row r="31" spans="1:11" x14ac:dyDescent="0.3">
      <c r="A31">
        <v>1030</v>
      </c>
      <c r="B31" s="2">
        <v>46033.460921843682</v>
      </c>
      <c r="C31" t="s">
        <v>50</v>
      </c>
      <c r="D31" t="s">
        <v>38</v>
      </c>
      <c r="E31" t="s">
        <v>29</v>
      </c>
      <c r="F31" t="s">
        <v>19</v>
      </c>
      <c r="G31">
        <v>1</v>
      </c>
      <c r="H31">
        <v>12000</v>
      </c>
      <c r="I31">
        <v>12000</v>
      </c>
      <c r="J31" t="s">
        <v>45</v>
      </c>
      <c r="K31">
        <v>4</v>
      </c>
    </row>
    <row r="32" spans="1:11" x14ac:dyDescent="0.3">
      <c r="A32">
        <v>1031</v>
      </c>
      <c r="B32" s="2">
        <v>46033.821643286559</v>
      </c>
      <c r="C32" t="s">
        <v>32</v>
      </c>
      <c r="D32" t="s">
        <v>26</v>
      </c>
      <c r="E32" t="s">
        <v>18</v>
      </c>
      <c r="F32" t="s">
        <v>19</v>
      </c>
      <c r="G32">
        <v>3</v>
      </c>
      <c r="H32">
        <v>22500</v>
      </c>
      <c r="I32">
        <v>67500</v>
      </c>
      <c r="J32" t="s">
        <v>31</v>
      </c>
      <c r="K32">
        <v>5</v>
      </c>
    </row>
    <row r="33" spans="1:11" x14ac:dyDescent="0.3">
      <c r="A33">
        <v>1032</v>
      </c>
      <c r="B33" s="2">
        <v>46034.182364729459</v>
      </c>
      <c r="C33" t="s">
        <v>34</v>
      </c>
      <c r="D33" t="s">
        <v>26</v>
      </c>
      <c r="E33" t="s">
        <v>13</v>
      </c>
      <c r="F33" t="s">
        <v>14</v>
      </c>
      <c r="G33">
        <v>4</v>
      </c>
      <c r="H33">
        <v>2000</v>
      </c>
      <c r="I33">
        <v>8000</v>
      </c>
      <c r="J33" t="s">
        <v>31</v>
      </c>
      <c r="K33">
        <v>5</v>
      </c>
    </row>
    <row r="34" spans="1:11" x14ac:dyDescent="0.3">
      <c r="A34">
        <v>1033</v>
      </c>
      <c r="B34" s="2">
        <v>46034.543086172343</v>
      </c>
      <c r="C34" t="s">
        <v>49</v>
      </c>
      <c r="D34" t="s">
        <v>26</v>
      </c>
      <c r="E34" t="s">
        <v>29</v>
      </c>
      <c r="F34" t="s">
        <v>19</v>
      </c>
      <c r="G34">
        <v>1</v>
      </c>
      <c r="H34">
        <v>12000</v>
      </c>
      <c r="I34">
        <v>12000</v>
      </c>
      <c r="J34" t="s">
        <v>15</v>
      </c>
      <c r="K34">
        <v>5</v>
      </c>
    </row>
    <row r="35" spans="1:11" x14ac:dyDescent="0.3">
      <c r="A35">
        <v>1034</v>
      </c>
      <c r="B35" s="2">
        <v>46034.903807615221</v>
      </c>
      <c r="C35" t="s">
        <v>49</v>
      </c>
      <c r="D35" t="s">
        <v>17</v>
      </c>
      <c r="E35" t="s">
        <v>29</v>
      </c>
      <c r="F35" t="s">
        <v>19</v>
      </c>
      <c r="G35">
        <v>3</v>
      </c>
      <c r="H35">
        <v>12000</v>
      </c>
      <c r="I35">
        <v>36000</v>
      </c>
      <c r="J35" t="s">
        <v>31</v>
      </c>
      <c r="K35">
        <v>5</v>
      </c>
    </row>
    <row r="36" spans="1:11" x14ac:dyDescent="0.3">
      <c r="A36">
        <v>1035</v>
      </c>
      <c r="B36" s="2">
        <v>46035.264529058113</v>
      </c>
      <c r="C36" t="s">
        <v>47</v>
      </c>
      <c r="D36" t="s">
        <v>26</v>
      </c>
      <c r="E36" t="s">
        <v>43</v>
      </c>
      <c r="F36" t="s">
        <v>14</v>
      </c>
      <c r="G36">
        <v>2</v>
      </c>
      <c r="H36">
        <v>1300</v>
      </c>
      <c r="I36">
        <v>2600</v>
      </c>
      <c r="J36" t="s">
        <v>20</v>
      </c>
      <c r="K36">
        <v>4</v>
      </c>
    </row>
    <row r="37" spans="1:11" x14ac:dyDescent="0.3">
      <c r="A37">
        <v>1036</v>
      </c>
      <c r="B37" s="2">
        <v>46035.625250500998</v>
      </c>
      <c r="C37" t="s">
        <v>49</v>
      </c>
      <c r="D37" t="s">
        <v>44</v>
      </c>
      <c r="E37" t="s">
        <v>13</v>
      </c>
      <c r="F37" t="s">
        <v>14</v>
      </c>
      <c r="G37">
        <v>2</v>
      </c>
      <c r="H37">
        <v>1500</v>
      </c>
      <c r="I37">
        <v>3000</v>
      </c>
      <c r="J37" t="s">
        <v>15</v>
      </c>
      <c r="K37">
        <v>4</v>
      </c>
    </row>
    <row r="38" spans="1:11" x14ac:dyDescent="0.3">
      <c r="A38">
        <v>1037</v>
      </c>
      <c r="B38" s="2">
        <v>46035.985971943883</v>
      </c>
      <c r="C38" t="s">
        <v>21</v>
      </c>
      <c r="D38" t="s">
        <v>17</v>
      </c>
      <c r="E38" t="s">
        <v>29</v>
      </c>
      <c r="F38" t="s">
        <v>19</v>
      </c>
      <c r="G38">
        <v>3</v>
      </c>
      <c r="H38">
        <v>11500</v>
      </c>
      <c r="I38">
        <v>34500</v>
      </c>
      <c r="J38" t="s">
        <v>31</v>
      </c>
      <c r="K38">
        <v>4</v>
      </c>
    </row>
    <row r="39" spans="1:11" x14ac:dyDescent="0.3">
      <c r="A39">
        <v>1038</v>
      </c>
      <c r="B39" s="2">
        <v>46036.346693386768</v>
      </c>
      <c r="C39" t="s">
        <v>48</v>
      </c>
      <c r="D39" t="s">
        <v>26</v>
      </c>
      <c r="E39" t="s">
        <v>18</v>
      </c>
      <c r="F39" t="s">
        <v>19</v>
      </c>
      <c r="G39">
        <v>2</v>
      </c>
      <c r="H39">
        <v>22500</v>
      </c>
      <c r="I39">
        <v>45000</v>
      </c>
      <c r="J39" t="s">
        <v>20</v>
      </c>
      <c r="K39">
        <v>5</v>
      </c>
    </row>
    <row r="40" spans="1:11" x14ac:dyDescent="0.3">
      <c r="A40">
        <v>1039</v>
      </c>
      <c r="B40" s="2">
        <v>46036.707414829652</v>
      </c>
      <c r="C40" t="s">
        <v>49</v>
      </c>
      <c r="D40" t="s">
        <v>38</v>
      </c>
      <c r="E40" t="s">
        <v>18</v>
      </c>
      <c r="F40" t="s">
        <v>19</v>
      </c>
      <c r="G40">
        <v>1</v>
      </c>
      <c r="H40">
        <v>22000</v>
      </c>
      <c r="I40">
        <v>22000</v>
      </c>
      <c r="J40" t="s">
        <v>15</v>
      </c>
      <c r="K40">
        <v>5</v>
      </c>
    </row>
    <row r="41" spans="1:11" x14ac:dyDescent="0.3">
      <c r="A41">
        <v>1040</v>
      </c>
      <c r="B41" s="2">
        <v>46037.068136272537</v>
      </c>
      <c r="C41" t="s">
        <v>34</v>
      </c>
      <c r="D41" t="s">
        <v>26</v>
      </c>
      <c r="E41" t="s">
        <v>23</v>
      </c>
      <c r="F41" t="s">
        <v>24</v>
      </c>
      <c r="G41">
        <v>2</v>
      </c>
      <c r="H41">
        <v>14000</v>
      </c>
      <c r="I41">
        <v>28000</v>
      </c>
      <c r="J41" t="s">
        <v>15</v>
      </c>
      <c r="K41">
        <v>4</v>
      </c>
    </row>
    <row r="42" spans="1:11" x14ac:dyDescent="0.3">
      <c r="A42">
        <v>1041</v>
      </c>
      <c r="B42" s="2">
        <v>46037.428857715429</v>
      </c>
      <c r="C42" t="s">
        <v>28</v>
      </c>
      <c r="D42" t="s">
        <v>38</v>
      </c>
      <c r="E42" t="s">
        <v>43</v>
      </c>
      <c r="F42" t="s">
        <v>14</v>
      </c>
      <c r="G42">
        <v>1</v>
      </c>
      <c r="H42">
        <v>800</v>
      </c>
      <c r="I42">
        <v>800</v>
      </c>
      <c r="J42" t="s">
        <v>31</v>
      </c>
      <c r="K42">
        <v>5</v>
      </c>
    </row>
    <row r="43" spans="1:11" x14ac:dyDescent="0.3">
      <c r="A43">
        <v>1042</v>
      </c>
      <c r="B43" s="2">
        <v>46037.789579158307</v>
      </c>
      <c r="C43" t="s">
        <v>36</v>
      </c>
      <c r="D43" t="s">
        <v>17</v>
      </c>
      <c r="E43" t="s">
        <v>43</v>
      </c>
      <c r="F43" t="s">
        <v>14</v>
      </c>
      <c r="G43">
        <v>1</v>
      </c>
      <c r="H43">
        <v>800</v>
      </c>
      <c r="I43">
        <v>800</v>
      </c>
      <c r="J43" t="s">
        <v>31</v>
      </c>
      <c r="K43">
        <v>4</v>
      </c>
    </row>
    <row r="44" spans="1:11" x14ac:dyDescent="0.3">
      <c r="A44">
        <v>1043</v>
      </c>
      <c r="B44" s="2">
        <v>46038.150300601192</v>
      </c>
      <c r="C44" t="s">
        <v>50</v>
      </c>
      <c r="D44" t="s">
        <v>26</v>
      </c>
      <c r="E44" t="s">
        <v>39</v>
      </c>
      <c r="F44" t="s">
        <v>19</v>
      </c>
      <c r="G44">
        <v>2</v>
      </c>
      <c r="H44">
        <v>25000</v>
      </c>
      <c r="I44">
        <v>50000</v>
      </c>
      <c r="J44" t="s">
        <v>20</v>
      </c>
      <c r="K44">
        <v>4</v>
      </c>
    </row>
    <row r="45" spans="1:11" x14ac:dyDescent="0.3">
      <c r="A45">
        <v>1044</v>
      </c>
      <c r="B45" s="2">
        <v>46038.511022044077</v>
      </c>
      <c r="C45" t="s">
        <v>47</v>
      </c>
      <c r="D45" t="s">
        <v>22</v>
      </c>
      <c r="E45" t="s">
        <v>13</v>
      </c>
      <c r="F45" t="s">
        <v>14</v>
      </c>
      <c r="G45">
        <v>1</v>
      </c>
      <c r="H45">
        <v>1500</v>
      </c>
      <c r="I45">
        <v>1500</v>
      </c>
      <c r="J45" t="s">
        <v>15</v>
      </c>
      <c r="K45">
        <v>5</v>
      </c>
    </row>
    <row r="46" spans="1:11" x14ac:dyDescent="0.3">
      <c r="A46">
        <v>1045</v>
      </c>
      <c r="B46" s="2">
        <v>46038.871743486969</v>
      </c>
      <c r="C46" t="s">
        <v>42</v>
      </c>
      <c r="D46" t="s">
        <v>26</v>
      </c>
      <c r="E46" t="s">
        <v>18</v>
      </c>
      <c r="F46" t="s">
        <v>19</v>
      </c>
      <c r="G46">
        <v>3</v>
      </c>
      <c r="H46">
        <v>22000</v>
      </c>
      <c r="I46">
        <v>66000</v>
      </c>
      <c r="J46" t="s">
        <v>15</v>
      </c>
      <c r="K46">
        <v>4</v>
      </c>
    </row>
    <row r="47" spans="1:11" x14ac:dyDescent="0.3">
      <c r="A47">
        <v>1046</v>
      </c>
      <c r="B47" s="2">
        <v>46039.232464929853</v>
      </c>
      <c r="C47" t="s">
        <v>21</v>
      </c>
      <c r="D47" t="s">
        <v>44</v>
      </c>
      <c r="E47" t="s">
        <v>13</v>
      </c>
      <c r="F47" t="s">
        <v>14</v>
      </c>
      <c r="G47">
        <v>3</v>
      </c>
      <c r="H47">
        <v>1500</v>
      </c>
      <c r="I47">
        <v>4500</v>
      </c>
      <c r="J47" t="s">
        <v>31</v>
      </c>
      <c r="K47">
        <v>5</v>
      </c>
    </row>
    <row r="48" spans="1:11" x14ac:dyDescent="0.3">
      <c r="A48">
        <v>1047</v>
      </c>
      <c r="B48" s="2">
        <v>46039.593186372753</v>
      </c>
      <c r="C48" t="s">
        <v>37</v>
      </c>
      <c r="D48" t="s">
        <v>17</v>
      </c>
      <c r="E48" t="s">
        <v>43</v>
      </c>
      <c r="F48" t="s">
        <v>14</v>
      </c>
      <c r="G48">
        <v>1</v>
      </c>
      <c r="H48">
        <v>800</v>
      </c>
      <c r="I48">
        <v>800</v>
      </c>
      <c r="J48" t="s">
        <v>15</v>
      </c>
      <c r="K48">
        <v>5</v>
      </c>
    </row>
    <row r="49" spans="1:11" x14ac:dyDescent="0.3">
      <c r="A49">
        <v>1048</v>
      </c>
      <c r="B49" s="2">
        <v>46039.953907815623</v>
      </c>
      <c r="C49" t="s">
        <v>47</v>
      </c>
      <c r="D49" t="s">
        <v>17</v>
      </c>
      <c r="E49" t="s">
        <v>39</v>
      </c>
      <c r="F49" t="s">
        <v>19</v>
      </c>
      <c r="G49">
        <v>1</v>
      </c>
      <c r="H49">
        <v>25000</v>
      </c>
      <c r="I49">
        <v>25000</v>
      </c>
      <c r="J49" t="s">
        <v>45</v>
      </c>
      <c r="K49">
        <v>4</v>
      </c>
    </row>
    <row r="50" spans="1:11" x14ac:dyDescent="0.3">
      <c r="A50">
        <v>1049</v>
      </c>
      <c r="B50" s="2">
        <v>46040.314629258508</v>
      </c>
      <c r="C50" t="s">
        <v>21</v>
      </c>
      <c r="D50" t="s">
        <v>44</v>
      </c>
      <c r="E50" t="s">
        <v>43</v>
      </c>
      <c r="F50" t="s">
        <v>14</v>
      </c>
      <c r="G50">
        <v>1</v>
      </c>
      <c r="H50">
        <v>800</v>
      </c>
      <c r="I50">
        <v>800</v>
      </c>
      <c r="J50" t="s">
        <v>15</v>
      </c>
      <c r="K50">
        <v>5</v>
      </c>
    </row>
    <row r="51" spans="1:11" x14ac:dyDescent="0.3">
      <c r="A51">
        <v>1050</v>
      </c>
      <c r="B51" s="2">
        <v>46040.6753507014</v>
      </c>
      <c r="C51" t="s">
        <v>37</v>
      </c>
      <c r="D51" t="s">
        <v>44</v>
      </c>
      <c r="E51" t="s">
        <v>33</v>
      </c>
      <c r="F51" t="s">
        <v>14</v>
      </c>
      <c r="G51">
        <v>1</v>
      </c>
      <c r="H51">
        <v>2000</v>
      </c>
      <c r="I51">
        <v>2000</v>
      </c>
      <c r="J51" t="s">
        <v>15</v>
      </c>
      <c r="K51">
        <v>5</v>
      </c>
    </row>
    <row r="52" spans="1:11" x14ac:dyDescent="0.3">
      <c r="A52">
        <v>1051</v>
      </c>
      <c r="B52" s="2">
        <v>46041.036072144278</v>
      </c>
      <c r="C52" t="s">
        <v>41</v>
      </c>
      <c r="D52" t="s">
        <v>17</v>
      </c>
      <c r="E52" t="s">
        <v>39</v>
      </c>
      <c r="F52" t="s">
        <v>19</v>
      </c>
      <c r="G52">
        <v>2</v>
      </c>
      <c r="H52">
        <v>25000</v>
      </c>
      <c r="I52">
        <v>50000</v>
      </c>
      <c r="J52" t="s">
        <v>31</v>
      </c>
      <c r="K52">
        <v>4</v>
      </c>
    </row>
    <row r="53" spans="1:11" x14ac:dyDescent="0.3">
      <c r="A53">
        <v>1052</v>
      </c>
      <c r="B53" s="2">
        <v>46041.396793587162</v>
      </c>
      <c r="C53" t="s">
        <v>25</v>
      </c>
      <c r="D53" t="s">
        <v>22</v>
      </c>
      <c r="E53" t="s">
        <v>27</v>
      </c>
      <c r="F53" t="s">
        <v>19</v>
      </c>
      <c r="G53">
        <v>1</v>
      </c>
      <c r="H53">
        <v>54500</v>
      </c>
      <c r="I53">
        <v>54500</v>
      </c>
      <c r="J53" t="s">
        <v>15</v>
      </c>
      <c r="K53">
        <v>5</v>
      </c>
    </row>
    <row r="54" spans="1:11" x14ac:dyDescent="0.3">
      <c r="A54">
        <v>1053</v>
      </c>
      <c r="B54" s="2">
        <v>46041.757515030047</v>
      </c>
      <c r="C54" t="s">
        <v>11</v>
      </c>
      <c r="D54" t="s">
        <v>17</v>
      </c>
      <c r="E54" t="s">
        <v>43</v>
      </c>
      <c r="F54" t="s">
        <v>14</v>
      </c>
      <c r="G54">
        <v>1</v>
      </c>
      <c r="H54">
        <v>800</v>
      </c>
      <c r="I54">
        <v>800</v>
      </c>
      <c r="J54" t="s">
        <v>15</v>
      </c>
      <c r="K54">
        <v>4</v>
      </c>
    </row>
    <row r="55" spans="1:11" x14ac:dyDescent="0.3">
      <c r="A55">
        <v>1054</v>
      </c>
      <c r="B55" s="2">
        <v>46042.118236472939</v>
      </c>
      <c r="C55" t="s">
        <v>16</v>
      </c>
      <c r="D55" t="s">
        <v>17</v>
      </c>
      <c r="E55" t="s">
        <v>13</v>
      </c>
      <c r="F55" t="s">
        <v>14</v>
      </c>
      <c r="G55">
        <v>2</v>
      </c>
      <c r="H55">
        <v>1500</v>
      </c>
      <c r="I55">
        <v>3000</v>
      </c>
      <c r="J55" t="s">
        <v>15</v>
      </c>
      <c r="K55">
        <v>5</v>
      </c>
    </row>
    <row r="56" spans="1:11" x14ac:dyDescent="0.3">
      <c r="A56">
        <v>1055</v>
      </c>
      <c r="B56" s="2">
        <v>46042.478957915817</v>
      </c>
      <c r="C56" t="s">
        <v>32</v>
      </c>
      <c r="D56" t="s">
        <v>12</v>
      </c>
      <c r="E56" t="s">
        <v>33</v>
      </c>
      <c r="F56" t="s">
        <v>14</v>
      </c>
      <c r="G56">
        <v>3</v>
      </c>
      <c r="H56">
        <v>2500</v>
      </c>
      <c r="I56">
        <v>7500</v>
      </c>
      <c r="J56" t="s">
        <v>15</v>
      </c>
      <c r="K56">
        <v>5</v>
      </c>
    </row>
    <row r="57" spans="1:11" x14ac:dyDescent="0.3">
      <c r="A57">
        <v>1056</v>
      </c>
      <c r="B57" s="2">
        <v>46042.839679358724</v>
      </c>
      <c r="C57" t="s">
        <v>49</v>
      </c>
      <c r="D57" t="s">
        <v>22</v>
      </c>
      <c r="E57" t="s">
        <v>23</v>
      </c>
      <c r="F57" t="s">
        <v>24</v>
      </c>
      <c r="G57">
        <v>2</v>
      </c>
      <c r="H57">
        <v>14000</v>
      </c>
      <c r="I57">
        <v>28000</v>
      </c>
      <c r="J57" t="s">
        <v>45</v>
      </c>
      <c r="K57">
        <v>5</v>
      </c>
    </row>
    <row r="58" spans="1:11" x14ac:dyDescent="0.3">
      <c r="A58">
        <v>1057</v>
      </c>
      <c r="B58" s="2">
        <v>46043.200400801587</v>
      </c>
      <c r="C58" t="s">
        <v>46</v>
      </c>
      <c r="D58" t="s">
        <v>17</v>
      </c>
      <c r="E58" t="s">
        <v>29</v>
      </c>
      <c r="F58" t="s">
        <v>19</v>
      </c>
      <c r="G58">
        <v>3</v>
      </c>
      <c r="H58">
        <v>12000</v>
      </c>
      <c r="I58">
        <v>36000</v>
      </c>
      <c r="J58" t="s">
        <v>15</v>
      </c>
      <c r="K58">
        <v>4</v>
      </c>
    </row>
    <row r="59" spans="1:11" x14ac:dyDescent="0.3">
      <c r="A59">
        <v>1058</v>
      </c>
      <c r="B59" s="2">
        <v>46043.561122244479</v>
      </c>
      <c r="C59" t="s">
        <v>48</v>
      </c>
      <c r="D59" t="s">
        <v>12</v>
      </c>
      <c r="E59" t="s">
        <v>13</v>
      </c>
      <c r="F59" t="s">
        <v>14</v>
      </c>
      <c r="G59">
        <v>1</v>
      </c>
      <c r="H59">
        <v>1500</v>
      </c>
      <c r="I59">
        <v>1500</v>
      </c>
      <c r="J59" t="s">
        <v>15</v>
      </c>
      <c r="K59">
        <v>5</v>
      </c>
    </row>
    <row r="60" spans="1:11" x14ac:dyDescent="0.3">
      <c r="A60">
        <v>1059</v>
      </c>
      <c r="B60" s="2">
        <v>46043.921843687371</v>
      </c>
      <c r="C60" t="s">
        <v>32</v>
      </c>
      <c r="D60" t="s">
        <v>12</v>
      </c>
      <c r="E60" t="s">
        <v>27</v>
      </c>
      <c r="F60" t="s">
        <v>19</v>
      </c>
      <c r="G60">
        <v>3</v>
      </c>
      <c r="H60">
        <v>55000</v>
      </c>
      <c r="I60">
        <v>165000</v>
      </c>
      <c r="J60" t="s">
        <v>31</v>
      </c>
      <c r="K60">
        <v>5</v>
      </c>
    </row>
    <row r="61" spans="1:11" x14ac:dyDescent="0.3">
      <c r="A61">
        <v>1060</v>
      </c>
      <c r="B61" s="2">
        <v>46044.282565130263</v>
      </c>
      <c r="C61" t="s">
        <v>32</v>
      </c>
      <c r="D61" t="s">
        <v>12</v>
      </c>
      <c r="E61" t="s">
        <v>18</v>
      </c>
      <c r="F61" t="s">
        <v>19</v>
      </c>
      <c r="G61">
        <v>2</v>
      </c>
      <c r="H61">
        <v>22000</v>
      </c>
      <c r="I61">
        <v>44000</v>
      </c>
      <c r="J61" t="s">
        <v>31</v>
      </c>
      <c r="K61">
        <v>5</v>
      </c>
    </row>
    <row r="62" spans="1:11" x14ac:dyDescent="0.3">
      <c r="A62">
        <v>1061</v>
      </c>
      <c r="B62" s="2">
        <v>46044.643286573133</v>
      </c>
      <c r="C62" t="s">
        <v>48</v>
      </c>
      <c r="D62" t="s">
        <v>26</v>
      </c>
      <c r="E62" t="s">
        <v>29</v>
      </c>
      <c r="F62" t="s">
        <v>19</v>
      </c>
      <c r="G62">
        <v>2</v>
      </c>
      <c r="H62">
        <v>12000</v>
      </c>
      <c r="I62">
        <v>24000</v>
      </c>
      <c r="J62" t="s">
        <v>31</v>
      </c>
      <c r="K62">
        <v>4</v>
      </c>
    </row>
    <row r="63" spans="1:11" x14ac:dyDescent="0.3">
      <c r="A63">
        <v>1062</v>
      </c>
      <c r="B63" s="2">
        <v>46045.004008016032</v>
      </c>
      <c r="C63" t="s">
        <v>48</v>
      </c>
      <c r="D63" t="s">
        <v>22</v>
      </c>
      <c r="E63" t="s">
        <v>39</v>
      </c>
      <c r="F63" t="s">
        <v>19</v>
      </c>
      <c r="G63">
        <v>2</v>
      </c>
      <c r="H63">
        <v>25000</v>
      </c>
      <c r="I63">
        <v>50000</v>
      </c>
      <c r="J63" t="s">
        <v>31</v>
      </c>
      <c r="K63">
        <v>5</v>
      </c>
    </row>
    <row r="64" spans="1:11" x14ac:dyDescent="0.3">
      <c r="A64">
        <v>1063</v>
      </c>
      <c r="B64" s="2">
        <v>46045.36472945891</v>
      </c>
      <c r="C64" t="s">
        <v>21</v>
      </c>
      <c r="D64" t="s">
        <v>44</v>
      </c>
      <c r="E64" t="s">
        <v>13</v>
      </c>
      <c r="F64" t="s">
        <v>14</v>
      </c>
      <c r="G64">
        <v>3</v>
      </c>
      <c r="H64">
        <v>1500</v>
      </c>
      <c r="I64">
        <v>4500</v>
      </c>
      <c r="J64" t="s">
        <v>20</v>
      </c>
      <c r="K64">
        <v>3</v>
      </c>
    </row>
    <row r="65" spans="1:11" x14ac:dyDescent="0.3">
      <c r="A65">
        <v>1064</v>
      </c>
      <c r="B65" s="2">
        <v>46045.725450901788</v>
      </c>
      <c r="C65" t="s">
        <v>47</v>
      </c>
      <c r="D65" t="s">
        <v>12</v>
      </c>
      <c r="E65" t="s">
        <v>13</v>
      </c>
      <c r="F65" t="s">
        <v>14</v>
      </c>
      <c r="G65">
        <v>4</v>
      </c>
      <c r="H65">
        <v>2000</v>
      </c>
      <c r="I65">
        <v>8000</v>
      </c>
      <c r="J65" t="s">
        <v>31</v>
      </c>
      <c r="K65">
        <v>4</v>
      </c>
    </row>
    <row r="66" spans="1:11" x14ac:dyDescent="0.3">
      <c r="A66">
        <v>1065</v>
      </c>
      <c r="B66" s="2">
        <v>46046.086172344687</v>
      </c>
      <c r="C66" t="s">
        <v>32</v>
      </c>
      <c r="D66" t="s">
        <v>44</v>
      </c>
      <c r="E66" t="s">
        <v>43</v>
      </c>
      <c r="F66" t="s">
        <v>14</v>
      </c>
      <c r="G66">
        <v>1</v>
      </c>
      <c r="H66">
        <v>800</v>
      </c>
      <c r="I66">
        <v>800</v>
      </c>
      <c r="J66" t="s">
        <v>45</v>
      </c>
      <c r="K66">
        <v>5</v>
      </c>
    </row>
    <row r="67" spans="1:11" x14ac:dyDescent="0.3">
      <c r="A67">
        <v>1066</v>
      </c>
      <c r="B67" s="2">
        <v>46046.446893787572</v>
      </c>
      <c r="C67" t="s">
        <v>40</v>
      </c>
      <c r="D67" t="s">
        <v>38</v>
      </c>
      <c r="E67" t="s">
        <v>27</v>
      </c>
      <c r="F67" t="s">
        <v>19</v>
      </c>
      <c r="G67">
        <v>2</v>
      </c>
      <c r="H67">
        <v>54500</v>
      </c>
      <c r="I67">
        <v>109000</v>
      </c>
      <c r="J67" t="s">
        <v>20</v>
      </c>
      <c r="K67">
        <v>4</v>
      </c>
    </row>
    <row r="68" spans="1:11" x14ac:dyDescent="0.3">
      <c r="A68">
        <v>1067</v>
      </c>
      <c r="B68" s="2">
        <v>46046.807615230449</v>
      </c>
      <c r="C68" t="s">
        <v>21</v>
      </c>
      <c r="D68" t="s">
        <v>22</v>
      </c>
      <c r="E68" t="s">
        <v>27</v>
      </c>
      <c r="F68" t="s">
        <v>19</v>
      </c>
      <c r="G68">
        <v>1</v>
      </c>
      <c r="H68">
        <v>55000</v>
      </c>
      <c r="I68">
        <v>55000</v>
      </c>
      <c r="J68" t="s">
        <v>15</v>
      </c>
      <c r="K68">
        <v>3</v>
      </c>
    </row>
    <row r="69" spans="1:11" x14ac:dyDescent="0.3">
      <c r="A69">
        <v>1068</v>
      </c>
      <c r="B69" s="2">
        <v>46047.168336673341</v>
      </c>
      <c r="C69" t="s">
        <v>16</v>
      </c>
      <c r="D69" t="s">
        <v>44</v>
      </c>
      <c r="E69" t="s">
        <v>39</v>
      </c>
      <c r="F69" t="s">
        <v>19</v>
      </c>
      <c r="G69">
        <v>1</v>
      </c>
      <c r="H69">
        <v>25000</v>
      </c>
      <c r="I69">
        <v>25000</v>
      </c>
      <c r="J69" t="s">
        <v>31</v>
      </c>
      <c r="K69">
        <v>4</v>
      </c>
    </row>
    <row r="70" spans="1:11" x14ac:dyDescent="0.3">
      <c r="A70">
        <v>1069</v>
      </c>
      <c r="B70" s="2">
        <v>46047.529058116234</v>
      </c>
      <c r="C70" t="s">
        <v>48</v>
      </c>
      <c r="D70" t="s">
        <v>22</v>
      </c>
      <c r="E70" t="s">
        <v>29</v>
      </c>
      <c r="F70" t="s">
        <v>19</v>
      </c>
      <c r="G70">
        <v>3</v>
      </c>
      <c r="H70">
        <v>12000</v>
      </c>
      <c r="I70">
        <v>36000</v>
      </c>
      <c r="J70" t="s">
        <v>31</v>
      </c>
      <c r="K70">
        <v>4</v>
      </c>
    </row>
    <row r="71" spans="1:11" x14ac:dyDescent="0.3">
      <c r="A71">
        <v>1070</v>
      </c>
      <c r="B71" s="2">
        <v>46047.889779559111</v>
      </c>
      <c r="C71" t="s">
        <v>11</v>
      </c>
      <c r="D71" t="s">
        <v>38</v>
      </c>
      <c r="E71" t="s">
        <v>39</v>
      </c>
      <c r="F71" t="s">
        <v>19</v>
      </c>
      <c r="G71">
        <v>2</v>
      </c>
      <c r="H71">
        <v>25000</v>
      </c>
      <c r="I71">
        <v>50000</v>
      </c>
      <c r="J71" t="s">
        <v>15</v>
      </c>
      <c r="K71">
        <v>4</v>
      </c>
    </row>
    <row r="72" spans="1:11" x14ac:dyDescent="0.3">
      <c r="A72">
        <v>1071</v>
      </c>
      <c r="B72" s="2">
        <v>46048.250501002003</v>
      </c>
      <c r="C72" t="s">
        <v>30</v>
      </c>
      <c r="D72" t="s">
        <v>17</v>
      </c>
      <c r="E72" t="s">
        <v>33</v>
      </c>
      <c r="F72" t="s">
        <v>14</v>
      </c>
      <c r="G72">
        <v>1</v>
      </c>
      <c r="H72">
        <v>2500</v>
      </c>
      <c r="I72">
        <v>2500</v>
      </c>
      <c r="J72" t="s">
        <v>45</v>
      </c>
      <c r="K72">
        <v>5</v>
      </c>
    </row>
    <row r="73" spans="1:11" x14ac:dyDescent="0.3">
      <c r="A73">
        <v>1072</v>
      </c>
      <c r="B73" s="2">
        <v>46048.611222444881</v>
      </c>
      <c r="C73" t="s">
        <v>48</v>
      </c>
      <c r="D73" t="s">
        <v>22</v>
      </c>
      <c r="E73" t="s">
        <v>39</v>
      </c>
      <c r="F73" t="s">
        <v>19</v>
      </c>
      <c r="G73">
        <v>2</v>
      </c>
      <c r="H73">
        <v>25000</v>
      </c>
      <c r="I73">
        <v>50000</v>
      </c>
      <c r="J73" t="s">
        <v>20</v>
      </c>
      <c r="K73">
        <v>4</v>
      </c>
    </row>
    <row r="74" spans="1:11" x14ac:dyDescent="0.3">
      <c r="A74">
        <v>1073</v>
      </c>
      <c r="B74" s="2">
        <v>46048.971943887773</v>
      </c>
      <c r="C74" t="s">
        <v>25</v>
      </c>
      <c r="D74" t="s">
        <v>44</v>
      </c>
      <c r="E74" t="s">
        <v>23</v>
      </c>
      <c r="F74" t="s">
        <v>24</v>
      </c>
      <c r="G74">
        <v>1</v>
      </c>
      <c r="H74">
        <v>14500</v>
      </c>
      <c r="I74">
        <v>14500</v>
      </c>
      <c r="J74" t="s">
        <v>15</v>
      </c>
      <c r="K74">
        <v>5</v>
      </c>
    </row>
    <row r="75" spans="1:11" x14ac:dyDescent="0.3">
      <c r="A75">
        <v>1074</v>
      </c>
      <c r="B75" s="2">
        <v>46049.332665330658</v>
      </c>
      <c r="C75" t="s">
        <v>34</v>
      </c>
      <c r="D75" t="s">
        <v>22</v>
      </c>
      <c r="E75" t="s">
        <v>23</v>
      </c>
      <c r="F75" t="s">
        <v>24</v>
      </c>
      <c r="G75">
        <v>1</v>
      </c>
      <c r="H75">
        <v>14000</v>
      </c>
      <c r="I75">
        <v>14000</v>
      </c>
      <c r="J75" t="s">
        <v>15</v>
      </c>
      <c r="K75">
        <v>4</v>
      </c>
    </row>
    <row r="76" spans="1:11" x14ac:dyDescent="0.3">
      <c r="A76">
        <v>1075</v>
      </c>
      <c r="B76" s="2">
        <v>46049.693386773542</v>
      </c>
      <c r="C76" t="s">
        <v>46</v>
      </c>
      <c r="D76" t="s">
        <v>17</v>
      </c>
      <c r="E76" t="s">
        <v>23</v>
      </c>
      <c r="F76" t="s">
        <v>24</v>
      </c>
      <c r="G76">
        <v>2</v>
      </c>
      <c r="H76">
        <v>14000</v>
      </c>
      <c r="I76">
        <v>28000</v>
      </c>
      <c r="J76" t="s">
        <v>20</v>
      </c>
      <c r="K76">
        <v>3</v>
      </c>
    </row>
    <row r="77" spans="1:11" x14ac:dyDescent="0.3">
      <c r="A77">
        <v>1076</v>
      </c>
      <c r="B77" s="2">
        <v>46050.05410821642</v>
      </c>
      <c r="C77" t="s">
        <v>32</v>
      </c>
      <c r="D77" t="s">
        <v>12</v>
      </c>
      <c r="E77" t="s">
        <v>13</v>
      </c>
      <c r="F77" t="s">
        <v>14</v>
      </c>
      <c r="G77">
        <v>1</v>
      </c>
      <c r="H77">
        <v>1500</v>
      </c>
      <c r="I77">
        <v>1500</v>
      </c>
      <c r="J77" t="s">
        <v>15</v>
      </c>
      <c r="K77">
        <v>4</v>
      </c>
    </row>
    <row r="78" spans="1:11" x14ac:dyDescent="0.3">
      <c r="A78">
        <v>1077</v>
      </c>
      <c r="B78" s="2">
        <v>46050.414829659319</v>
      </c>
      <c r="C78" t="s">
        <v>48</v>
      </c>
      <c r="D78" t="s">
        <v>22</v>
      </c>
      <c r="E78" t="s">
        <v>43</v>
      </c>
      <c r="F78" t="s">
        <v>14</v>
      </c>
      <c r="G78">
        <v>1</v>
      </c>
      <c r="H78">
        <v>800</v>
      </c>
      <c r="I78">
        <v>800</v>
      </c>
      <c r="J78" t="s">
        <v>15</v>
      </c>
      <c r="K78">
        <v>5</v>
      </c>
    </row>
    <row r="79" spans="1:11" x14ac:dyDescent="0.3">
      <c r="A79">
        <v>1078</v>
      </c>
      <c r="B79" s="2">
        <v>46050.775551102197</v>
      </c>
      <c r="C79" t="s">
        <v>51</v>
      </c>
      <c r="D79" t="s">
        <v>12</v>
      </c>
      <c r="E79" t="s">
        <v>39</v>
      </c>
      <c r="F79" t="s">
        <v>19</v>
      </c>
      <c r="G79">
        <v>1</v>
      </c>
      <c r="H79">
        <v>25500</v>
      </c>
      <c r="I79">
        <v>25500</v>
      </c>
      <c r="J79" t="s">
        <v>15</v>
      </c>
      <c r="K79">
        <v>5</v>
      </c>
    </row>
    <row r="80" spans="1:11" x14ac:dyDescent="0.3">
      <c r="A80">
        <v>1079</v>
      </c>
      <c r="B80" s="2">
        <v>46051.136272545082</v>
      </c>
      <c r="C80" t="s">
        <v>36</v>
      </c>
      <c r="D80" t="s">
        <v>44</v>
      </c>
      <c r="E80" t="s">
        <v>23</v>
      </c>
      <c r="F80" t="s">
        <v>24</v>
      </c>
      <c r="G80">
        <v>1</v>
      </c>
      <c r="H80">
        <v>14000</v>
      </c>
      <c r="I80">
        <v>14000</v>
      </c>
      <c r="J80" t="s">
        <v>15</v>
      </c>
      <c r="K80">
        <v>4</v>
      </c>
    </row>
    <row r="81" spans="1:11" x14ac:dyDescent="0.3">
      <c r="A81">
        <v>1080</v>
      </c>
      <c r="B81" s="2">
        <v>46051.496993987967</v>
      </c>
      <c r="C81" t="s">
        <v>48</v>
      </c>
      <c r="D81" t="s">
        <v>44</v>
      </c>
      <c r="E81" t="s">
        <v>18</v>
      </c>
      <c r="F81" t="s">
        <v>19</v>
      </c>
      <c r="G81">
        <v>5</v>
      </c>
      <c r="H81">
        <v>22000</v>
      </c>
      <c r="I81">
        <v>110000</v>
      </c>
      <c r="J81" t="s">
        <v>15</v>
      </c>
      <c r="K81">
        <v>3</v>
      </c>
    </row>
    <row r="82" spans="1:11" x14ac:dyDescent="0.3">
      <c r="A82">
        <v>1081</v>
      </c>
      <c r="B82" s="2">
        <v>46051.857715430859</v>
      </c>
      <c r="C82" t="s">
        <v>48</v>
      </c>
      <c r="D82" t="s">
        <v>44</v>
      </c>
      <c r="E82" t="s">
        <v>27</v>
      </c>
      <c r="F82" t="s">
        <v>19</v>
      </c>
      <c r="G82">
        <v>1</v>
      </c>
      <c r="H82">
        <v>54500</v>
      </c>
      <c r="I82">
        <v>54500</v>
      </c>
      <c r="J82" t="s">
        <v>20</v>
      </c>
      <c r="K82">
        <v>5</v>
      </c>
    </row>
    <row r="83" spans="1:11" x14ac:dyDescent="0.3">
      <c r="A83">
        <v>1082</v>
      </c>
      <c r="B83" s="2">
        <v>46052.218436873743</v>
      </c>
      <c r="C83" t="s">
        <v>42</v>
      </c>
      <c r="D83" t="s">
        <v>38</v>
      </c>
      <c r="E83" t="s">
        <v>29</v>
      </c>
      <c r="F83" t="s">
        <v>19</v>
      </c>
      <c r="G83">
        <v>3</v>
      </c>
      <c r="H83">
        <v>12500</v>
      </c>
      <c r="I83">
        <v>37500</v>
      </c>
      <c r="J83" t="s">
        <v>15</v>
      </c>
      <c r="K83">
        <v>4</v>
      </c>
    </row>
    <row r="84" spans="1:11" x14ac:dyDescent="0.3">
      <c r="A84">
        <v>1083</v>
      </c>
      <c r="B84" s="2">
        <v>46052.579158316628</v>
      </c>
      <c r="C84" t="s">
        <v>49</v>
      </c>
      <c r="D84" t="s">
        <v>22</v>
      </c>
      <c r="E84" t="s">
        <v>27</v>
      </c>
      <c r="F84" t="s">
        <v>19</v>
      </c>
      <c r="G84">
        <v>4</v>
      </c>
      <c r="H84">
        <v>55000</v>
      </c>
      <c r="I84">
        <v>220000</v>
      </c>
      <c r="J84" t="s">
        <v>45</v>
      </c>
      <c r="K84">
        <v>3</v>
      </c>
    </row>
    <row r="85" spans="1:11" x14ac:dyDescent="0.3">
      <c r="A85">
        <v>1084</v>
      </c>
      <c r="B85" s="2">
        <v>46052.939879759513</v>
      </c>
      <c r="C85" t="s">
        <v>41</v>
      </c>
      <c r="D85" t="s">
        <v>38</v>
      </c>
      <c r="E85" t="s">
        <v>43</v>
      </c>
      <c r="F85" t="s">
        <v>14</v>
      </c>
      <c r="G85">
        <v>1</v>
      </c>
      <c r="H85">
        <v>800</v>
      </c>
      <c r="I85">
        <v>800</v>
      </c>
      <c r="J85" t="s">
        <v>15</v>
      </c>
      <c r="K85">
        <v>5</v>
      </c>
    </row>
    <row r="86" spans="1:11" x14ac:dyDescent="0.3">
      <c r="A86">
        <v>1085</v>
      </c>
      <c r="B86" s="2">
        <v>46053.300601202398</v>
      </c>
      <c r="C86" t="s">
        <v>48</v>
      </c>
      <c r="D86" t="s">
        <v>44</v>
      </c>
      <c r="E86" t="s">
        <v>23</v>
      </c>
      <c r="F86" t="s">
        <v>24</v>
      </c>
      <c r="G86">
        <v>1</v>
      </c>
      <c r="H86">
        <v>14000</v>
      </c>
      <c r="I86">
        <v>14000</v>
      </c>
      <c r="J86" t="s">
        <v>31</v>
      </c>
      <c r="K86">
        <v>5</v>
      </c>
    </row>
    <row r="87" spans="1:11" x14ac:dyDescent="0.3">
      <c r="A87">
        <v>1086</v>
      </c>
      <c r="B87" s="2">
        <v>46053.66132264529</v>
      </c>
      <c r="C87" t="s">
        <v>51</v>
      </c>
      <c r="D87" t="s">
        <v>12</v>
      </c>
      <c r="E87" t="s">
        <v>43</v>
      </c>
      <c r="F87" t="s">
        <v>14</v>
      </c>
      <c r="G87">
        <v>1</v>
      </c>
      <c r="H87">
        <v>300</v>
      </c>
      <c r="I87">
        <v>300</v>
      </c>
      <c r="J87" t="s">
        <v>31</v>
      </c>
      <c r="K87">
        <v>4</v>
      </c>
    </row>
    <row r="88" spans="1:11" x14ac:dyDescent="0.3">
      <c r="A88">
        <v>1087</v>
      </c>
      <c r="B88" s="2">
        <v>46054.022044088168</v>
      </c>
      <c r="C88" t="s">
        <v>51</v>
      </c>
      <c r="D88" t="s">
        <v>22</v>
      </c>
      <c r="E88" t="s">
        <v>33</v>
      </c>
      <c r="F88" t="s">
        <v>14</v>
      </c>
      <c r="G88">
        <v>4</v>
      </c>
      <c r="H88">
        <v>2500</v>
      </c>
      <c r="I88">
        <v>10000</v>
      </c>
      <c r="J88" t="s">
        <v>45</v>
      </c>
      <c r="K88">
        <v>4</v>
      </c>
    </row>
    <row r="89" spans="1:11" x14ac:dyDescent="0.3">
      <c r="A89">
        <v>1088</v>
      </c>
      <c r="B89" s="2">
        <v>46054.382765531052</v>
      </c>
      <c r="C89" t="s">
        <v>32</v>
      </c>
      <c r="D89" t="s">
        <v>12</v>
      </c>
      <c r="E89" t="s">
        <v>29</v>
      </c>
      <c r="F89" t="s">
        <v>19</v>
      </c>
      <c r="G89">
        <v>3</v>
      </c>
      <c r="H89">
        <v>12500</v>
      </c>
      <c r="I89">
        <v>37500</v>
      </c>
      <c r="J89" t="s">
        <v>20</v>
      </c>
      <c r="K89">
        <v>4</v>
      </c>
    </row>
    <row r="90" spans="1:11" x14ac:dyDescent="0.3">
      <c r="A90">
        <v>1089</v>
      </c>
      <c r="B90" s="2">
        <v>46054.743486973937</v>
      </c>
      <c r="C90" t="s">
        <v>16</v>
      </c>
      <c r="D90" t="s">
        <v>44</v>
      </c>
      <c r="E90" t="s">
        <v>43</v>
      </c>
      <c r="F90" t="s">
        <v>14</v>
      </c>
      <c r="G90">
        <v>1</v>
      </c>
      <c r="H90">
        <v>1300</v>
      </c>
      <c r="I90">
        <v>1300</v>
      </c>
      <c r="J90" t="s">
        <v>15</v>
      </c>
      <c r="K90">
        <v>5</v>
      </c>
    </row>
    <row r="91" spans="1:11" x14ac:dyDescent="0.3">
      <c r="A91">
        <v>1090</v>
      </c>
      <c r="B91" s="2">
        <v>46055.104208416829</v>
      </c>
      <c r="C91" t="s">
        <v>50</v>
      </c>
      <c r="D91" t="s">
        <v>38</v>
      </c>
      <c r="E91" t="s">
        <v>13</v>
      </c>
      <c r="F91" t="s">
        <v>14</v>
      </c>
      <c r="G91">
        <v>2</v>
      </c>
      <c r="H91">
        <v>1500</v>
      </c>
      <c r="I91">
        <v>3000</v>
      </c>
      <c r="J91" t="s">
        <v>15</v>
      </c>
      <c r="K91">
        <v>5</v>
      </c>
    </row>
    <row r="92" spans="1:11" x14ac:dyDescent="0.3">
      <c r="A92">
        <v>1091</v>
      </c>
      <c r="B92" s="2">
        <v>46055.464929859707</v>
      </c>
      <c r="C92" t="s">
        <v>41</v>
      </c>
      <c r="D92" t="s">
        <v>38</v>
      </c>
      <c r="E92" t="s">
        <v>43</v>
      </c>
      <c r="F92" t="s">
        <v>14</v>
      </c>
      <c r="G92">
        <v>1</v>
      </c>
      <c r="H92">
        <v>800</v>
      </c>
      <c r="I92">
        <v>800</v>
      </c>
      <c r="J92" t="s">
        <v>31</v>
      </c>
      <c r="K92">
        <v>4</v>
      </c>
    </row>
    <row r="93" spans="1:11" x14ac:dyDescent="0.3">
      <c r="A93">
        <v>1092</v>
      </c>
      <c r="B93" s="2">
        <v>46055.825651302614</v>
      </c>
      <c r="C93" t="s">
        <v>42</v>
      </c>
      <c r="D93" t="s">
        <v>44</v>
      </c>
      <c r="E93" t="s">
        <v>43</v>
      </c>
      <c r="F93" t="s">
        <v>14</v>
      </c>
      <c r="G93">
        <v>1</v>
      </c>
      <c r="H93">
        <v>800</v>
      </c>
      <c r="I93">
        <v>800</v>
      </c>
      <c r="J93" t="s">
        <v>15</v>
      </c>
      <c r="K93">
        <v>4</v>
      </c>
    </row>
    <row r="94" spans="1:11" x14ac:dyDescent="0.3">
      <c r="A94">
        <v>1093</v>
      </c>
      <c r="B94" s="2">
        <v>46056.186372745477</v>
      </c>
      <c r="C94" t="s">
        <v>48</v>
      </c>
      <c r="D94" t="s">
        <v>26</v>
      </c>
      <c r="E94" t="s">
        <v>29</v>
      </c>
      <c r="F94" t="s">
        <v>19</v>
      </c>
      <c r="G94">
        <v>1</v>
      </c>
      <c r="H94">
        <v>12000</v>
      </c>
      <c r="I94">
        <v>12000</v>
      </c>
      <c r="J94" t="s">
        <v>15</v>
      </c>
      <c r="K94">
        <v>4</v>
      </c>
    </row>
    <row r="95" spans="1:11" x14ac:dyDescent="0.3">
      <c r="A95">
        <v>1094</v>
      </c>
      <c r="B95" s="2">
        <v>46056.547094188369</v>
      </c>
      <c r="C95" t="s">
        <v>46</v>
      </c>
      <c r="D95" t="s">
        <v>44</v>
      </c>
      <c r="E95" t="s">
        <v>27</v>
      </c>
      <c r="F95" t="s">
        <v>19</v>
      </c>
      <c r="G95">
        <v>2</v>
      </c>
      <c r="H95">
        <v>55000</v>
      </c>
      <c r="I95">
        <v>110000</v>
      </c>
      <c r="J95" t="s">
        <v>15</v>
      </c>
      <c r="K95">
        <v>5</v>
      </c>
    </row>
    <row r="96" spans="1:11" x14ac:dyDescent="0.3">
      <c r="A96">
        <v>1095</v>
      </c>
      <c r="B96" s="2">
        <v>46056.907815631261</v>
      </c>
      <c r="C96" t="s">
        <v>25</v>
      </c>
      <c r="D96" t="s">
        <v>26</v>
      </c>
      <c r="E96" t="s">
        <v>27</v>
      </c>
      <c r="F96" t="s">
        <v>19</v>
      </c>
      <c r="G96">
        <v>2</v>
      </c>
      <c r="H96">
        <v>55500</v>
      </c>
      <c r="I96">
        <v>111000</v>
      </c>
      <c r="J96" t="s">
        <v>15</v>
      </c>
      <c r="K96">
        <v>5</v>
      </c>
    </row>
    <row r="97" spans="1:11" x14ac:dyDescent="0.3">
      <c r="A97">
        <v>1096</v>
      </c>
      <c r="B97" s="2">
        <v>46057.268537074153</v>
      </c>
      <c r="C97" t="s">
        <v>47</v>
      </c>
      <c r="D97" t="s">
        <v>38</v>
      </c>
      <c r="E97" t="s">
        <v>29</v>
      </c>
      <c r="F97" t="s">
        <v>19</v>
      </c>
      <c r="G97">
        <v>2</v>
      </c>
      <c r="H97">
        <v>11500</v>
      </c>
      <c r="I97">
        <v>23000</v>
      </c>
      <c r="J97" t="s">
        <v>20</v>
      </c>
      <c r="K97">
        <v>4</v>
      </c>
    </row>
    <row r="98" spans="1:11" x14ac:dyDescent="0.3">
      <c r="A98">
        <v>1097</v>
      </c>
      <c r="B98" s="2">
        <v>46057.629258517023</v>
      </c>
      <c r="C98" t="s">
        <v>41</v>
      </c>
      <c r="D98" t="s">
        <v>38</v>
      </c>
      <c r="E98" t="s">
        <v>29</v>
      </c>
      <c r="F98" t="s">
        <v>19</v>
      </c>
      <c r="G98">
        <v>1</v>
      </c>
      <c r="H98">
        <v>12000</v>
      </c>
      <c r="I98">
        <v>12000</v>
      </c>
      <c r="J98" t="s">
        <v>15</v>
      </c>
      <c r="K98">
        <v>4</v>
      </c>
    </row>
    <row r="99" spans="1:11" x14ac:dyDescent="0.3">
      <c r="A99">
        <v>1098</v>
      </c>
      <c r="B99" s="2">
        <v>46057.989979959922</v>
      </c>
      <c r="C99" t="s">
        <v>11</v>
      </c>
      <c r="D99" t="s">
        <v>26</v>
      </c>
      <c r="E99" t="s">
        <v>13</v>
      </c>
      <c r="F99" t="s">
        <v>14</v>
      </c>
      <c r="G99">
        <v>1</v>
      </c>
      <c r="H99">
        <v>1500</v>
      </c>
      <c r="I99">
        <v>1500</v>
      </c>
      <c r="J99" t="s">
        <v>15</v>
      </c>
      <c r="K99">
        <v>3</v>
      </c>
    </row>
    <row r="100" spans="1:11" x14ac:dyDescent="0.3">
      <c r="A100">
        <v>1099</v>
      </c>
      <c r="B100" s="2">
        <v>46058.3507014028</v>
      </c>
      <c r="C100" t="s">
        <v>41</v>
      </c>
      <c r="D100" t="s">
        <v>22</v>
      </c>
      <c r="E100" t="s">
        <v>18</v>
      </c>
      <c r="F100" t="s">
        <v>19</v>
      </c>
      <c r="G100">
        <v>2</v>
      </c>
      <c r="H100">
        <v>22000</v>
      </c>
      <c r="I100">
        <v>44000</v>
      </c>
      <c r="J100" t="s">
        <v>31</v>
      </c>
      <c r="K100">
        <v>3</v>
      </c>
    </row>
    <row r="101" spans="1:11" x14ac:dyDescent="0.3">
      <c r="A101">
        <v>1100</v>
      </c>
      <c r="B101" s="2">
        <v>46058.711422845678</v>
      </c>
      <c r="C101" t="s">
        <v>48</v>
      </c>
      <c r="D101" t="s">
        <v>17</v>
      </c>
      <c r="E101" t="s">
        <v>29</v>
      </c>
      <c r="F101" t="s">
        <v>19</v>
      </c>
      <c r="G101">
        <v>2</v>
      </c>
      <c r="H101">
        <v>12000</v>
      </c>
      <c r="I101">
        <v>24000</v>
      </c>
      <c r="J101" t="s">
        <v>15</v>
      </c>
      <c r="K101">
        <v>4</v>
      </c>
    </row>
    <row r="102" spans="1:11" x14ac:dyDescent="0.3">
      <c r="A102">
        <v>1101</v>
      </c>
      <c r="B102" s="2">
        <v>46059.072144288577</v>
      </c>
      <c r="C102" t="s">
        <v>36</v>
      </c>
      <c r="D102" t="s">
        <v>26</v>
      </c>
      <c r="E102" t="s">
        <v>13</v>
      </c>
      <c r="F102" t="s">
        <v>14</v>
      </c>
      <c r="G102">
        <v>2</v>
      </c>
      <c r="H102">
        <v>1500</v>
      </c>
      <c r="I102">
        <v>3000</v>
      </c>
      <c r="J102" t="s">
        <v>31</v>
      </c>
      <c r="K102">
        <v>4</v>
      </c>
    </row>
    <row r="103" spans="1:11" x14ac:dyDescent="0.3">
      <c r="A103">
        <v>1102</v>
      </c>
      <c r="B103" s="2">
        <v>46059.432865731462</v>
      </c>
      <c r="C103" t="s">
        <v>32</v>
      </c>
      <c r="D103" t="s">
        <v>26</v>
      </c>
      <c r="E103" t="s">
        <v>27</v>
      </c>
      <c r="F103" t="s">
        <v>19</v>
      </c>
      <c r="G103">
        <v>1</v>
      </c>
      <c r="H103">
        <v>55000</v>
      </c>
      <c r="I103">
        <v>55000</v>
      </c>
      <c r="J103" t="s">
        <v>15</v>
      </c>
      <c r="K103">
        <v>4</v>
      </c>
    </row>
    <row r="104" spans="1:11" x14ac:dyDescent="0.3">
      <c r="A104">
        <v>1103</v>
      </c>
      <c r="B104" s="2">
        <v>46059.793587174339</v>
      </c>
      <c r="C104" t="s">
        <v>47</v>
      </c>
      <c r="D104" t="s">
        <v>44</v>
      </c>
      <c r="E104" t="s">
        <v>43</v>
      </c>
      <c r="F104" t="s">
        <v>14</v>
      </c>
      <c r="G104">
        <v>3</v>
      </c>
      <c r="H104">
        <v>300</v>
      </c>
      <c r="I104">
        <v>900</v>
      </c>
      <c r="J104" t="s">
        <v>20</v>
      </c>
      <c r="K104">
        <v>3</v>
      </c>
    </row>
    <row r="105" spans="1:11" x14ac:dyDescent="0.3">
      <c r="A105">
        <v>1104</v>
      </c>
      <c r="B105" s="2">
        <v>46060.154308617231</v>
      </c>
      <c r="C105" t="s">
        <v>51</v>
      </c>
      <c r="D105" t="s">
        <v>26</v>
      </c>
      <c r="E105" t="s">
        <v>13</v>
      </c>
      <c r="F105" t="s">
        <v>14</v>
      </c>
      <c r="G105">
        <v>4</v>
      </c>
      <c r="H105">
        <v>1500</v>
      </c>
      <c r="I105">
        <v>6000</v>
      </c>
      <c r="J105" t="s">
        <v>15</v>
      </c>
      <c r="K105">
        <v>4</v>
      </c>
    </row>
    <row r="106" spans="1:11" x14ac:dyDescent="0.3">
      <c r="A106">
        <v>1105</v>
      </c>
      <c r="B106" s="2">
        <v>46060.515030060124</v>
      </c>
      <c r="C106" t="s">
        <v>37</v>
      </c>
      <c r="D106" t="s">
        <v>12</v>
      </c>
      <c r="E106" t="s">
        <v>39</v>
      </c>
      <c r="F106" t="s">
        <v>19</v>
      </c>
      <c r="G106">
        <v>4</v>
      </c>
      <c r="H106">
        <v>25000</v>
      </c>
      <c r="I106">
        <v>100000</v>
      </c>
      <c r="J106" t="s">
        <v>15</v>
      </c>
      <c r="K106">
        <v>5</v>
      </c>
    </row>
    <row r="107" spans="1:11" x14ac:dyDescent="0.3">
      <c r="A107">
        <v>1106</v>
      </c>
      <c r="B107" s="2">
        <v>46060.875751503001</v>
      </c>
      <c r="C107" t="s">
        <v>49</v>
      </c>
      <c r="D107" t="s">
        <v>17</v>
      </c>
      <c r="E107" t="s">
        <v>43</v>
      </c>
      <c r="F107" t="s">
        <v>14</v>
      </c>
      <c r="G107">
        <v>1</v>
      </c>
      <c r="H107">
        <v>800</v>
      </c>
      <c r="I107">
        <v>800</v>
      </c>
      <c r="J107" t="s">
        <v>15</v>
      </c>
      <c r="K107">
        <v>3</v>
      </c>
    </row>
    <row r="108" spans="1:11" x14ac:dyDescent="0.3">
      <c r="A108">
        <v>1107</v>
      </c>
      <c r="B108" s="2">
        <v>46061.236472945893</v>
      </c>
      <c r="C108" t="s">
        <v>46</v>
      </c>
      <c r="D108" t="s">
        <v>17</v>
      </c>
      <c r="E108" t="s">
        <v>29</v>
      </c>
      <c r="F108" t="s">
        <v>19</v>
      </c>
      <c r="G108">
        <v>1</v>
      </c>
      <c r="H108">
        <v>12000</v>
      </c>
      <c r="I108">
        <v>12000</v>
      </c>
      <c r="J108" t="s">
        <v>15</v>
      </c>
      <c r="K108">
        <v>5</v>
      </c>
    </row>
    <row r="109" spans="1:11" x14ac:dyDescent="0.3">
      <c r="A109">
        <v>1108</v>
      </c>
      <c r="B109" s="2">
        <v>46061.597194388771</v>
      </c>
      <c r="C109" t="s">
        <v>42</v>
      </c>
      <c r="D109" t="s">
        <v>17</v>
      </c>
      <c r="E109" t="s">
        <v>13</v>
      </c>
      <c r="F109" t="s">
        <v>14</v>
      </c>
      <c r="G109">
        <v>1</v>
      </c>
      <c r="H109">
        <v>1500</v>
      </c>
      <c r="I109">
        <v>1500</v>
      </c>
      <c r="J109" t="s">
        <v>15</v>
      </c>
      <c r="K109">
        <v>5</v>
      </c>
    </row>
    <row r="110" spans="1:11" x14ac:dyDescent="0.3">
      <c r="A110">
        <v>1109</v>
      </c>
      <c r="B110" s="2">
        <v>46061.957915831663</v>
      </c>
      <c r="C110" t="s">
        <v>28</v>
      </c>
      <c r="D110" t="s">
        <v>38</v>
      </c>
      <c r="E110" t="s">
        <v>27</v>
      </c>
      <c r="F110" t="s">
        <v>19</v>
      </c>
      <c r="G110">
        <v>1</v>
      </c>
      <c r="H110">
        <v>54500</v>
      </c>
      <c r="I110">
        <v>54500</v>
      </c>
      <c r="J110" t="s">
        <v>31</v>
      </c>
      <c r="K110">
        <v>5</v>
      </c>
    </row>
    <row r="111" spans="1:11" x14ac:dyDescent="0.3">
      <c r="A111">
        <v>1110</v>
      </c>
      <c r="B111" s="2">
        <v>46062.318637274548</v>
      </c>
      <c r="C111" t="s">
        <v>21</v>
      </c>
      <c r="D111" t="s">
        <v>12</v>
      </c>
      <c r="E111" t="s">
        <v>39</v>
      </c>
      <c r="F111" t="s">
        <v>19</v>
      </c>
      <c r="G111">
        <v>1</v>
      </c>
      <c r="H111">
        <v>25000</v>
      </c>
      <c r="I111">
        <v>25000</v>
      </c>
      <c r="J111" t="s">
        <v>15</v>
      </c>
      <c r="K111">
        <v>5</v>
      </c>
    </row>
    <row r="112" spans="1:11" x14ac:dyDescent="0.3">
      <c r="A112">
        <v>1111</v>
      </c>
      <c r="B112" s="2">
        <v>46062.679358717432</v>
      </c>
      <c r="C112" t="s">
        <v>37</v>
      </c>
      <c r="D112" t="s">
        <v>26</v>
      </c>
      <c r="E112" t="s">
        <v>23</v>
      </c>
      <c r="F112" t="s">
        <v>24</v>
      </c>
      <c r="G112">
        <v>1</v>
      </c>
      <c r="H112">
        <v>13500</v>
      </c>
      <c r="I112">
        <v>13500</v>
      </c>
      <c r="J112" t="s">
        <v>15</v>
      </c>
      <c r="K112">
        <v>5</v>
      </c>
    </row>
    <row r="113" spans="1:11" x14ac:dyDescent="0.3">
      <c r="A113">
        <v>1112</v>
      </c>
      <c r="B113" s="2">
        <v>46063.04008016031</v>
      </c>
      <c r="C113" t="s">
        <v>41</v>
      </c>
      <c r="D113" t="s">
        <v>44</v>
      </c>
      <c r="E113" t="s">
        <v>18</v>
      </c>
      <c r="F113" t="s">
        <v>19</v>
      </c>
      <c r="G113">
        <v>2</v>
      </c>
      <c r="H113">
        <v>22000</v>
      </c>
      <c r="I113">
        <v>44000</v>
      </c>
      <c r="J113" t="s">
        <v>15</v>
      </c>
      <c r="K113">
        <v>4</v>
      </c>
    </row>
    <row r="114" spans="1:11" x14ac:dyDescent="0.3">
      <c r="A114">
        <v>1113</v>
      </c>
      <c r="B114" s="2">
        <v>46063.400801603209</v>
      </c>
      <c r="C114" t="s">
        <v>42</v>
      </c>
      <c r="D114" t="s">
        <v>22</v>
      </c>
      <c r="E114" t="s">
        <v>29</v>
      </c>
      <c r="F114" t="s">
        <v>19</v>
      </c>
      <c r="G114">
        <v>4</v>
      </c>
      <c r="H114">
        <v>12000</v>
      </c>
      <c r="I114">
        <v>48000</v>
      </c>
      <c r="J114" t="s">
        <v>31</v>
      </c>
      <c r="K114">
        <v>4</v>
      </c>
    </row>
    <row r="115" spans="1:11" x14ac:dyDescent="0.3">
      <c r="A115">
        <v>1114</v>
      </c>
      <c r="B115" s="2">
        <v>46063.761523046087</v>
      </c>
      <c r="C115" t="s">
        <v>49</v>
      </c>
      <c r="D115" t="s">
        <v>22</v>
      </c>
      <c r="E115" t="s">
        <v>39</v>
      </c>
      <c r="F115" t="s">
        <v>19</v>
      </c>
      <c r="G115">
        <v>3</v>
      </c>
      <c r="H115">
        <v>25000</v>
      </c>
      <c r="I115">
        <v>75000</v>
      </c>
      <c r="J115" t="s">
        <v>15</v>
      </c>
      <c r="K115">
        <v>5</v>
      </c>
    </row>
    <row r="116" spans="1:11" x14ac:dyDescent="0.3">
      <c r="A116">
        <v>1115</v>
      </c>
      <c r="B116" s="2">
        <v>46064.122244488972</v>
      </c>
      <c r="C116" t="s">
        <v>47</v>
      </c>
      <c r="D116" t="s">
        <v>38</v>
      </c>
      <c r="E116" t="s">
        <v>13</v>
      </c>
      <c r="F116" t="s">
        <v>14</v>
      </c>
      <c r="G116">
        <v>2</v>
      </c>
      <c r="H116">
        <v>2000</v>
      </c>
      <c r="I116">
        <v>4000</v>
      </c>
      <c r="J116" t="s">
        <v>31</v>
      </c>
      <c r="K116">
        <v>4</v>
      </c>
    </row>
    <row r="117" spans="1:11" x14ac:dyDescent="0.3">
      <c r="A117">
        <v>1116</v>
      </c>
      <c r="B117" s="2">
        <v>46064.482965931857</v>
      </c>
      <c r="C117" t="s">
        <v>25</v>
      </c>
      <c r="D117" t="s">
        <v>44</v>
      </c>
      <c r="E117" t="s">
        <v>39</v>
      </c>
      <c r="F117" t="s">
        <v>19</v>
      </c>
      <c r="G117">
        <v>2</v>
      </c>
      <c r="H117">
        <v>25000</v>
      </c>
      <c r="I117">
        <v>50000</v>
      </c>
      <c r="J117" t="s">
        <v>31</v>
      </c>
      <c r="K117">
        <v>5</v>
      </c>
    </row>
    <row r="118" spans="1:11" x14ac:dyDescent="0.3">
      <c r="A118">
        <v>1117</v>
      </c>
      <c r="B118" s="2">
        <v>46064.843687374749</v>
      </c>
      <c r="C118" t="s">
        <v>40</v>
      </c>
      <c r="D118" t="s">
        <v>38</v>
      </c>
      <c r="E118" t="s">
        <v>29</v>
      </c>
      <c r="F118" t="s">
        <v>19</v>
      </c>
      <c r="G118">
        <v>5</v>
      </c>
      <c r="H118">
        <v>12000</v>
      </c>
      <c r="I118">
        <v>60000</v>
      </c>
      <c r="J118" t="s">
        <v>45</v>
      </c>
      <c r="K118">
        <v>3</v>
      </c>
    </row>
    <row r="119" spans="1:11" x14ac:dyDescent="0.3">
      <c r="A119">
        <v>1118</v>
      </c>
      <c r="B119" s="2">
        <v>46065.204408817634</v>
      </c>
      <c r="C119" t="s">
        <v>49</v>
      </c>
      <c r="D119" t="s">
        <v>26</v>
      </c>
      <c r="E119" t="s">
        <v>29</v>
      </c>
      <c r="F119" t="s">
        <v>19</v>
      </c>
      <c r="G119">
        <v>3</v>
      </c>
      <c r="H119">
        <v>12000</v>
      </c>
      <c r="I119">
        <v>36000</v>
      </c>
      <c r="J119" t="s">
        <v>45</v>
      </c>
      <c r="K119">
        <v>3</v>
      </c>
    </row>
    <row r="120" spans="1:11" x14ac:dyDescent="0.3">
      <c r="A120">
        <v>1119</v>
      </c>
      <c r="B120" s="2">
        <v>46065.565130260518</v>
      </c>
      <c r="C120" t="s">
        <v>37</v>
      </c>
      <c r="D120" t="s">
        <v>44</v>
      </c>
      <c r="E120" t="s">
        <v>18</v>
      </c>
      <c r="F120" t="s">
        <v>19</v>
      </c>
      <c r="G120">
        <v>1</v>
      </c>
      <c r="H120">
        <v>22000</v>
      </c>
      <c r="I120">
        <v>22000</v>
      </c>
      <c r="J120" t="s">
        <v>31</v>
      </c>
      <c r="K120">
        <v>4</v>
      </c>
    </row>
    <row r="121" spans="1:11" x14ac:dyDescent="0.3">
      <c r="A121">
        <v>1120</v>
      </c>
      <c r="B121" s="2">
        <v>46065.925851703403</v>
      </c>
      <c r="C121" t="s">
        <v>32</v>
      </c>
      <c r="D121" t="s">
        <v>17</v>
      </c>
      <c r="E121" t="s">
        <v>39</v>
      </c>
      <c r="F121" t="s">
        <v>19</v>
      </c>
      <c r="G121">
        <v>1</v>
      </c>
      <c r="H121">
        <v>25000</v>
      </c>
      <c r="I121">
        <v>25000</v>
      </c>
      <c r="J121" t="s">
        <v>31</v>
      </c>
      <c r="K121">
        <v>5</v>
      </c>
    </row>
    <row r="122" spans="1:11" x14ac:dyDescent="0.3">
      <c r="A122">
        <v>1121</v>
      </c>
      <c r="B122" s="2">
        <v>46066.286573146288</v>
      </c>
      <c r="C122" t="s">
        <v>51</v>
      </c>
      <c r="D122" t="s">
        <v>12</v>
      </c>
      <c r="E122" t="s">
        <v>18</v>
      </c>
      <c r="F122" t="s">
        <v>19</v>
      </c>
      <c r="G122">
        <v>4</v>
      </c>
      <c r="H122">
        <v>22000</v>
      </c>
      <c r="I122">
        <v>88000</v>
      </c>
      <c r="J122" t="s">
        <v>20</v>
      </c>
      <c r="K122">
        <v>4</v>
      </c>
    </row>
    <row r="123" spans="1:11" x14ac:dyDescent="0.3">
      <c r="A123">
        <v>1122</v>
      </c>
      <c r="B123" s="2">
        <v>46066.64729458918</v>
      </c>
      <c r="C123" t="s">
        <v>25</v>
      </c>
      <c r="D123" t="s">
        <v>17</v>
      </c>
      <c r="E123" t="s">
        <v>29</v>
      </c>
      <c r="F123" t="s">
        <v>19</v>
      </c>
      <c r="G123">
        <v>2</v>
      </c>
      <c r="H123">
        <v>12000</v>
      </c>
      <c r="I123">
        <v>24000</v>
      </c>
      <c r="J123" t="s">
        <v>31</v>
      </c>
      <c r="K123">
        <v>3</v>
      </c>
    </row>
    <row r="124" spans="1:11" x14ac:dyDescent="0.3">
      <c r="A124">
        <v>1123</v>
      </c>
      <c r="B124" s="2">
        <v>46067.008016032058</v>
      </c>
      <c r="C124" t="s">
        <v>42</v>
      </c>
      <c r="D124" t="s">
        <v>22</v>
      </c>
      <c r="E124" t="s">
        <v>23</v>
      </c>
      <c r="F124" t="s">
        <v>24</v>
      </c>
      <c r="G124">
        <v>3</v>
      </c>
      <c r="H124">
        <v>13500</v>
      </c>
      <c r="I124">
        <v>40500</v>
      </c>
      <c r="J124" t="s">
        <v>31</v>
      </c>
      <c r="K124">
        <v>5</v>
      </c>
    </row>
    <row r="125" spans="1:11" x14ac:dyDescent="0.3">
      <c r="A125">
        <v>1124</v>
      </c>
      <c r="B125" s="2">
        <v>46067.368737474942</v>
      </c>
      <c r="C125" t="s">
        <v>46</v>
      </c>
      <c r="D125" t="s">
        <v>22</v>
      </c>
      <c r="E125" t="s">
        <v>33</v>
      </c>
      <c r="F125" t="s">
        <v>14</v>
      </c>
      <c r="G125">
        <v>2</v>
      </c>
      <c r="H125">
        <v>3000</v>
      </c>
      <c r="I125">
        <v>6000</v>
      </c>
      <c r="J125" t="s">
        <v>15</v>
      </c>
      <c r="K125">
        <v>5</v>
      </c>
    </row>
    <row r="126" spans="1:11" x14ac:dyDescent="0.3">
      <c r="A126">
        <v>1125</v>
      </c>
      <c r="B126" s="2">
        <v>46067.729458917827</v>
      </c>
      <c r="C126" t="s">
        <v>47</v>
      </c>
      <c r="D126" t="s">
        <v>44</v>
      </c>
      <c r="E126" t="s">
        <v>18</v>
      </c>
      <c r="F126" t="s">
        <v>19</v>
      </c>
      <c r="G126">
        <v>1</v>
      </c>
      <c r="H126">
        <v>22500</v>
      </c>
      <c r="I126">
        <v>22500</v>
      </c>
      <c r="J126" t="s">
        <v>15</v>
      </c>
      <c r="K126">
        <v>5</v>
      </c>
    </row>
    <row r="127" spans="1:11" x14ac:dyDescent="0.3">
      <c r="A127">
        <v>1126</v>
      </c>
      <c r="B127" s="2">
        <v>46068.090180360719</v>
      </c>
      <c r="C127" t="s">
        <v>41</v>
      </c>
      <c r="D127" t="s">
        <v>17</v>
      </c>
      <c r="E127" t="s">
        <v>43</v>
      </c>
      <c r="F127" t="s">
        <v>14</v>
      </c>
      <c r="G127">
        <v>3</v>
      </c>
      <c r="H127">
        <v>800</v>
      </c>
      <c r="I127">
        <v>2400</v>
      </c>
      <c r="J127" t="s">
        <v>31</v>
      </c>
      <c r="K127">
        <v>5</v>
      </c>
    </row>
    <row r="128" spans="1:11" x14ac:dyDescent="0.3">
      <c r="A128">
        <v>1127</v>
      </c>
      <c r="B128" s="2">
        <v>46068.450901803597</v>
      </c>
      <c r="C128" t="s">
        <v>48</v>
      </c>
      <c r="D128" t="s">
        <v>38</v>
      </c>
      <c r="E128" t="s">
        <v>13</v>
      </c>
      <c r="F128" t="s">
        <v>14</v>
      </c>
      <c r="G128">
        <v>1</v>
      </c>
      <c r="H128">
        <v>1500</v>
      </c>
      <c r="I128">
        <v>1500</v>
      </c>
      <c r="J128" t="s">
        <v>15</v>
      </c>
      <c r="K128">
        <v>5</v>
      </c>
    </row>
    <row r="129" spans="1:11" x14ac:dyDescent="0.3">
      <c r="A129">
        <v>1128</v>
      </c>
      <c r="B129" s="2">
        <v>46068.811623246482</v>
      </c>
      <c r="C129" t="s">
        <v>49</v>
      </c>
      <c r="D129" t="s">
        <v>22</v>
      </c>
      <c r="E129" t="s">
        <v>43</v>
      </c>
      <c r="F129" t="s">
        <v>14</v>
      </c>
      <c r="G129">
        <v>2</v>
      </c>
      <c r="H129">
        <v>800</v>
      </c>
      <c r="I129">
        <v>1600</v>
      </c>
      <c r="J129" t="s">
        <v>45</v>
      </c>
      <c r="K129">
        <v>4</v>
      </c>
    </row>
    <row r="130" spans="1:11" x14ac:dyDescent="0.3">
      <c r="A130">
        <v>1129</v>
      </c>
      <c r="B130" s="2">
        <v>46069.172344689367</v>
      </c>
      <c r="C130" t="s">
        <v>48</v>
      </c>
      <c r="D130" t="s">
        <v>17</v>
      </c>
      <c r="E130" t="s">
        <v>43</v>
      </c>
      <c r="F130" t="s">
        <v>14</v>
      </c>
      <c r="G130">
        <v>1</v>
      </c>
      <c r="H130">
        <v>800</v>
      </c>
      <c r="I130">
        <v>800</v>
      </c>
      <c r="J130" t="s">
        <v>31</v>
      </c>
      <c r="K130">
        <v>5</v>
      </c>
    </row>
    <row r="131" spans="1:11" x14ac:dyDescent="0.3">
      <c r="A131">
        <v>1130</v>
      </c>
      <c r="B131" s="2">
        <v>46069.533066132259</v>
      </c>
      <c r="C131" t="s">
        <v>11</v>
      </c>
      <c r="D131" t="s">
        <v>22</v>
      </c>
      <c r="E131" t="s">
        <v>18</v>
      </c>
      <c r="F131" t="s">
        <v>19</v>
      </c>
      <c r="G131">
        <v>2</v>
      </c>
      <c r="H131">
        <v>22000</v>
      </c>
      <c r="I131">
        <v>44000</v>
      </c>
      <c r="J131" t="s">
        <v>15</v>
      </c>
      <c r="K131">
        <v>4</v>
      </c>
    </row>
    <row r="132" spans="1:11" x14ac:dyDescent="0.3">
      <c r="A132">
        <v>1131</v>
      </c>
      <c r="B132" s="2">
        <v>46069.893787575144</v>
      </c>
      <c r="C132" t="s">
        <v>48</v>
      </c>
      <c r="D132" t="s">
        <v>44</v>
      </c>
      <c r="E132" t="s">
        <v>33</v>
      </c>
      <c r="F132" t="s">
        <v>14</v>
      </c>
      <c r="G132">
        <v>3</v>
      </c>
      <c r="H132">
        <v>2500</v>
      </c>
      <c r="I132">
        <v>7500</v>
      </c>
      <c r="J132" t="s">
        <v>15</v>
      </c>
      <c r="K132">
        <v>5</v>
      </c>
    </row>
    <row r="133" spans="1:11" x14ac:dyDescent="0.3">
      <c r="A133">
        <v>1132</v>
      </c>
      <c r="B133" s="2">
        <v>46070.254509018043</v>
      </c>
      <c r="C133" t="s">
        <v>34</v>
      </c>
      <c r="D133" t="s">
        <v>12</v>
      </c>
      <c r="E133" t="s">
        <v>29</v>
      </c>
      <c r="F133" t="s">
        <v>19</v>
      </c>
      <c r="G133">
        <v>1</v>
      </c>
      <c r="H133">
        <v>12000</v>
      </c>
      <c r="I133">
        <v>12000</v>
      </c>
      <c r="J133" t="s">
        <v>31</v>
      </c>
      <c r="K133">
        <v>4</v>
      </c>
    </row>
    <row r="134" spans="1:11" x14ac:dyDescent="0.3">
      <c r="A134">
        <v>1133</v>
      </c>
      <c r="B134" s="2">
        <v>46070.615230460913</v>
      </c>
      <c r="C134" t="s">
        <v>37</v>
      </c>
      <c r="D134" t="s">
        <v>44</v>
      </c>
      <c r="E134" t="s">
        <v>33</v>
      </c>
      <c r="F134" t="s">
        <v>14</v>
      </c>
      <c r="G134">
        <v>3</v>
      </c>
      <c r="H134">
        <v>2500</v>
      </c>
      <c r="I134">
        <v>7500</v>
      </c>
      <c r="J134" t="s">
        <v>15</v>
      </c>
      <c r="K134">
        <v>5</v>
      </c>
    </row>
    <row r="135" spans="1:11" x14ac:dyDescent="0.3">
      <c r="A135">
        <v>1134</v>
      </c>
      <c r="B135" s="2">
        <v>46070.975951903798</v>
      </c>
      <c r="C135" t="s">
        <v>49</v>
      </c>
      <c r="D135" t="s">
        <v>17</v>
      </c>
      <c r="E135" t="s">
        <v>43</v>
      </c>
      <c r="F135" t="s">
        <v>14</v>
      </c>
      <c r="G135">
        <v>3</v>
      </c>
      <c r="H135">
        <v>800</v>
      </c>
      <c r="I135">
        <v>2400</v>
      </c>
      <c r="J135" t="s">
        <v>45</v>
      </c>
      <c r="K135">
        <v>5</v>
      </c>
    </row>
    <row r="136" spans="1:11" x14ac:dyDescent="0.3">
      <c r="A136">
        <v>1135</v>
      </c>
      <c r="B136" s="2">
        <v>46071.33667334669</v>
      </c>
      <c r="C136" t="s">
        <v>37</v>
      </c>
      <c r="D136" t="s">
        <v>26</v>
      </c>
      <c r="E136" t="s">
        <v>13</v>
      </c>
      <c r="F136" t="s">
        <v>14</v>
      </c>
      <c r="G136">
        <v>2</v>
      </c>
      <c r="H136">
        <v>1500</v>
      </c>
      <c r="I136">
        <v>3000</v>
      </c>
      <c r="J136" t="s">
        <v>15</v>
      </c>
      <c r="K136">
        <v>5</v>
      </c>
    </row>
    <row r="137" spans="1:11" x14ac:dyDescent="0.3">
      <c r="A137">
        <v>1136</v>
      </c>
      <c r="B137" s="2">
        <v>46071.697394789568</v>
      </c>
      <c r="C137" t="s">
        <v>41</v>
      </c>
      <c r="D137" t="s">
        <v>26</v>
      </c>
      <c r="E137" t="s">
        <v>18</v>
      </c>
      <c r="F137" t="s">
        <v>19</v>
      </c>
      <c r="G137">
        <v>2</v>
      </c>
      <c r="H137">
        <v>22000</v>
      </c>
      <c r="I137">
        <v>44000</v>
      </c>
      <c r="J137" t="s">
        <v>31</v>
      </c>
      <c r="K137">
        <v>5</v>
      </c>
    </row>
    <row r="138" spans="1:11" x14ac:dyDescent="0.3">
      <c r="A138">
        <v>1137</v>
      </c>
      <c r="B138" s="2">
        <v>46072.058116232452</v>
      </c>
      <c r="C138" t="s">
        <v>35</v>
      </c>
      <c r="D138" t="s">
        <v>12</v>
      </c>
      <c r="E138" t="s">
        <v>23</v>
      </c>
      <c r="F138" t="s">
        <v>24</v>
      </c>
      <c r="G138">
        <v>4</v>
      </c>
      <c r="H138">
        <v>14000</v>
      </c>
      <c r="I138">
        <v>56000</v>
      </c>
      <c r="J138" t="s">
        <v>15</v>
      </c>
      <c r="K138">
        <v>3</v>
      </c>
    </row>
    <row r="139" spans="1:11" x14ac:dyDescent="0.3">
      <c r="A139">
        <v>1138</v>
      </c>
      <c r="B139" s="2">
        <v>46072.418837675337</v>
      </c>
      <c r="C139" t="s">
        <v>32</v>
      </c>
      <c r="D139" t="s">
        <v>44</v>
      </c>
      <c r="E139" t="s">
        <v>43</v>
      </c>
      <c r="F139" t="s">
        <v>14</v>
      </c>
      <c r="G139">
        <v>1</v>
      </c>
      <c r="H139">
        <v>800</v>
      </c>
      <c r="I139">
        <v>800</v>
      </c>
      <c r="J139" t="s">
        <v>31</v>
      </c>
      <c r="K139">
        <v>5</v>
      </c>
    </row>
    <row r="140" spans="1:11" x14ac:dyDescent="0.3">
      <c r="A140">
        <v>1139</v>
      </c>
      <c r="B140" s="2">
        <v>46072.779559118229</v>
      </c>
      <c r="C140" t="s">
        <v>16</v>
      </c>
      <c r="D140" t="s">
        <v>38</v>
      </c>
      <c r="E140" t="s">
        <v>18</v>
      </c>
      <c r="F140" t="s">
        <v>19</v>
      </c>
      <c r="G140">
        <v>1</v>
      </c>
      <c r="H140">
        <v>22000</v>
      </c>
      <c r="I140">
        <v>22000</v>
      </c>
      <c r="J140" t="s">
        <v>31</v>
      </c>
      <c r="K140">
        <v>4</v>
      </c>
    </row>
    <row r="141" spans="1:11" x14ac:dyDescent="0.3">
      <c r="A141">
        <v>1140</v>
      </c>
      <c r="B141" s="2">
        <v>46073.140280561107</v>
      </c>
      <c r="C141" t="s">
        <v>16</v>
      </c>
      <c r="D141" t="s">
        <v>44</v>
      </c>
      <c r="E141" t="s">
        <v>29</v>
      </c>
      <c r="F141" t="s">
        <v>19</v>
      </c>
      <c r="G141">
        <v>1</v>
      </c>
      <c r="H141">
        <v>12000</v>
      </c>
      <c r="I141">
        <v>12000</v>
      </c>
      <c r="J141" t="s">
        <v>15</v>
      </c>
      <c r="K141">
        <v>5</v>
      </c>
    </row>
    <row r="142" spans="1:11" x14ac:dyDescent="0.3">
      <c r="A142">
        <v>1141</v>
      </c>
      <c r="B142" s="2">
        <v>46073.501002004014</v>
      </c>
      <c r="C142" t="s">
        <v>35</v>
      </c>
      <c r="D142" t="s">
        <v>22</v>
      </c>
      <c r="E142" t="s">
        <v>39</v>
      </c>
      <c r="F142" t="s">
        <v>19</v>
      </c>
      <c r="G142">
        <v>1</v>
      </c>
      <c r="H142">
        <v>25000</v>
      </c>
      <c r="I142">
        <v>25000</v>
      </c>
      <c r="J142" t="s">
        <v>31</v>
      </c>
      <c r="K142">
        <v>4</v>
      </c>
    </row>
    <row r="143" spans="1:11" x14ac:dyDescent="0.3">
      <c r="A143">
        <v>1142</v>
      </c>
      <c r="B143" s="2">
        <v>46073.861723446877</v>
      </c>
      <c r="C143" t="s">
        <v>28</v>
      </c>
      <c r="D143" t="s">
        <v>26</v>
      </c>
      <c r="E143" t="s">
        <v>39</v>
      </c>
      <c r="F143" t="s">
        <v>19</v>
      </c>
      <c r="G143">
        <v>2</v>
      </c>
      <c r="H143">
        <v>25000</v>
      </c>
      <c r="I143">
        <v>50000</v>
      </c>
      <c r="J143" t="s">
        <v>31</v>
      </c>
      <c r="K143">
        <v>4</v>
      </c>
    </row>
    <row r="144" spans="1:11" x14ac:dyDescent="0.3">
      <c r="A144">
        <v>1143</v>
      </c>
      <c r="B144" s="2">
        <v>46074.222444889769</v>
      </c>
      <c r="C144" t="s">
        <v>40</v>
      </c>
      <c r="D144" t="s">
        <v>38</v>
      </c>
      <c r="E144" t="s">
        <v>27</v>
      </c>
      <c r="F144" t="s">
        <v>19</v>
      </c>
      <c r="G144">
        <v>4</v>
      </c>
      <c r="H144">
        <v>55000</v>
      </c>
      <c r="I144">
        <v>220000</v>
      </c>
      <c r="J144" t="s">
        <v>45</v>
      </c>
      <c r="K144">
        <v>4</v>
      </c>
    </row>
    <row r="145" spans="1:11" x14ac:dyDescent="0.3">
      <c r="A145">
        <v>1144</v>
      </c>
      <c r="B145" s="2">
        <v>46074.583166332661</v>
      </c>
      <c r="C145" t="s">
        <v>40</v>
      </c>
      <c r="D145" t="s">
        <v>22</v>
      </c>
      <c r="E145" t="s">
        <v>18</v>
      </c>
      <c r="F145" t="s">
        <v>19</v>
      </c>
      <c r="G145">
        <v>2</v>
      </c>
      <c r="H145">
        <v>21500</v>
      </c>
      <c r="I145">
        <v>43000</v>
      </c>
      <c r="J145" t="s">
        <v>31</v>
      </c>
      <c r="K145">
        <v>5</v>
      </c>
    </row>
    <row r="146" spans="1:11" x14ac:dyDescent="0.3">
      <c r="A146">
        <v>1145</v>
      </c>
      <c r="B146" s="2">
        <v>46074.943887775553</v>
      </c>
      <c r="C146" t="s">
        <v>51</v>
      </c>
      <c r="D146" t="s">
        <v>38</v>
      </c>
      <c r="E146" t="s">
        <v>27</v>
      </c>
      <c r="F146" t="s">
        <v>19</v>
      </c>
      <c r="G146">
        <v>1</v>
      </c>
      <c r="H146">
        <v>55000</v>
      </c>
      <c r="I146">
        <v>55000</v>
      </c>
      <c r="J146" t="s">
        <v>31</v>
      </c>
      <c r="K146">
        <v>5</v>
      </c>
    </row>
    <row r="147" spans="1:11" x14ac:dyDescent="0.3">
      <c r="A147">
        <v>1146</v>
      </c>
      <c r="B147" s="2">
        <v>46075.304609218423</v>
      </c>
      <c r="C147" t="s">
        <v>35</v>
      </c>
      <c r="D147" t="s">
        <v>12</v>
      </c>
      <c r="E147" t="s">
        <v>39</v>
      </c>
      <c r="F147" t="s">
        <v>19</v>
      </c>
      <c r="G147">
        <v>1</v>
      </c>
      <c r="H147">
        <v>25500</v>
      </c>
      <c r="I147">
        <v>25500</v>
      </c>
      <c r="J147" t="s">
        <v>15</v>
      </c>
      <c r="K147">
        <v>5</v>
      </c>
    </row>
    <row r="148" spans="1:11" x14ac:dyDescent="0.3">
      <c r="A148">
        <v>1147</v>
      </c>
      <c r="B148" s="2">
        <v>46075.665330661323</v>
      </c>
      <c r="C148" t="s">
        <v>46</v>
      </c>
      <c r="D148" t="s">
        <v>38</v>
      </c>
      <c r="E148" t="s">
        <v>27</v>
      </c>
      <c r="F148" t="s">
        <v>19</v>
      </c>
      <c r="G148">
        <v>2</v>
      </c>
      <c r="H148">
        <v>55000</v>
      </c>
      <c r="I148">
        <v>110000</v>
      </c>
      <c r="J148" t="s">
        <v>15</v>
      </c>
      <c r="K148">
        <v>5</v>
      </c>
    </row>
    <row r="149" spans="1:11" x14ac:dyDescent="0.3">
      <c r="A149">
        <v>1148</v>
      </c>
      <c r="B149" s="2">
        <v>46076.0260521042</v>
      </c>
      <c r="C149" t="s">
        <v>25</v>
      </c>
      <c r="D149" t="s">
        <v>26</v>
      </c>
      <c r="E149" t="s">
        <v>43</v>
      </c>
      <c r="F149" t="s">
        <v>14</v>
      </c>
      <c r="G149">
        <v>2</v>
      </c>
      <c r="H149">
        <v>800</v>
      </c>
      <c r="I149">
        <v>1600</v>
      </c>
      <c r="J149" t="s">
        <v>15</v>
      </c>
      <c r="K149">
        <v>4</v>
      </c>
    </row>
    <row r="150" spans="1:11" x14ac:dyDescent="0.3">
      <c r="A150">
        <v>1149</v>
      </c>
      <c r="B150" s="2">
        <v>46076.386773547078</v>
      </c>
      <c r="C150" t="s">
        <v>30</v>
      </c>
      <c r="D150" t="s">
        <v>38</v>
      </c>
      <c r="E150" t="s">
        <v>43</v>
      </c>
      <c r="F150" t="s">
        <v>14</v>
      </c>
      <c r="G150">
        <v>2</v>
      </c>
      <c r="H150">
        <v>800</v>
      </c>
      <c r="I150">
        <v>1600</v>
      </c>
      <c r="J150" t="s">
        <v>45</v>
      </c>
      <c r="K150">
        <v>5</v>
      </c>
    </row>
    <row r="151" spans="1:11" x14ac:dyDescent="0.3">
      <c r="A151">
        <v>1150</v>
      </c>
      <c r="B151" s="2">
        <v>46076.747494989977</v>
      </c>
      <c r="C151" t="s">
        <v>28</v>
      </c>
      <c r="D151" t="s">
        <v>22</v>
      </c>
      <c r="E151" t="s">
        <v>27</v>
      </c>
      <c r="F151" t="s">
        <v>19</v>
      </c>
      <c r="G151">
        <v>2</v>
      </c>
      <c r="H151">
        <v>55000</v>
      </c>
      <c r="I151">
        <v>110000</v>
      </c>
      <c r="J151" t="s">
        <v>15</v>
      </c>
      <c r="K151">
        <v>4</v>
      </c>
    </row>
    <row r="152" spans="1:11" x14ac:dyDescent="0.3">
      <c r="A152">
        <v>1151</v>
      </c>
      <c r="B152" s="2">
        <v>46077.108216432862</v>
      </c>
      <c r="C152" t="s">
        <v>41</v>
      </c>
      <c r="D152" t="s">
        <v>38</v>
      </c>
      <c r="E152" t="s">
        <v>39</v>
      </c>
      <c r="F152" t="s">
        <v>19</v>
      </c>
      <c r="G152">
        <v>2</v>
      </c>
      <c r="H152">
        <v>25000</v>
      </c>
      <c r="I152">
        <v>50000</v>
      </c>
      <c r="J152" t="s">
        <v>15</v>
      </c>
      <c r="K152">
        <v>2</v>
      </c>
    </row>
    <row r="153" spans="1:11" x14ac:dyDescent="0.3">
      <c r="A153">
        <v>1152</v>
      </c>
      <c r="B153" s="2">
        <v>46077.468937875739</v>
      </c>
      <c r="C153" t="s">
        <v>40</v>
      </c>
      <c r="D153" t="s">
        <v>17</v>
      </c>
      <c r="E153" t="s">
        <v>23</v>
      </c>
      <c r="F153" t="s">
        <v>24</v>
      </c>
      <c r="G153">
        <v>1</v>
      </c>
      <c r="H153">
        <v>14000</v>
      </c>
      <c r="I153">
        <v>14000</v>
      </c>
      <c r="J153" t="s">
        <v>45</v>
      </c>
      <c r="K153">
        <v>5</v>
      </c>
    </row>
    <row r="154" spans="1:11" x14ac:dyDescent="0.3">
      <c r="A154">
        <v>1153</v>
      </c>
      <c r="B154" s="2">
        <v>46077.829659318631</v>
      </c>
      <c r="C154" t="s">
        <v>21</v>
      </c>
      <c r="D154" t="s">
        <v>26</v>
      </c>
      <c r="E154" t="s">
        <v>39</v>
      </c>
      <c r="F154" t="s">
        <v>19</v>
      </c>
      <c r="G154">
        <v>2</v>
      </c>
      <c r="H154">
        <v>25000</v>
      </c>
      <c r="I154">
        <v>50000</v>
      </c>
      <c r="J154" t="s">
        <v>20</v>
      </c>
      <c r="K154">
        <v>5</v>
      </c>
    </row>
    <row r="155" spans="1:11" x14ac:dyDescent="0.3">
      <c r="A155">
        <v>1154</v>
      </c>
      <c r="B155" s="2">
        <v>46078.190380761524</v>
      </c>
      <c r="C155" t="s">
        <v>50</v>
      </c>
      <c r="D155" t="s">
        <v>26</v>
      </c>
      <c r="E155" t="s">
        <v>29</v>
      </c>
      <c r="F155" t="s">
        <v>19</v>
      </c>
      <c r="G155">
        <v>2</v>
      </c>
      <c r="H155">
        <v>12000</v>
      </c>
      <c r="I155">
        <v>24000</v>
      </c>
      <c r="J155" t="s">
        <v>20</v>
      </c>
      <c r="K155">
        <v>5</v>
      </c>
    </row>
    <row r="156" spans="1:11" x14ac:dyDescent="0.3">
      <c r="A156">
        <v>1155</v>
      </c>
      <c r="B156" s="2">
        <v>46078.551102204401</v>
      </c>
      <c r="C156" t="s">
        <v>25</v>
      </c>
      <c r="D156" t="s">
        <v>12</v>
      </c>
      <c r="E156" t="s">
        <v>29</v>
      </c>
      <c r="F156" t="s">
        <v>19</v>
      </c>
      <c r="G156">
        <v>2</v>
      </c>
      <c r="H156">
        <v>11500</v>
      </c>
      <c r="I156">
        <v>23000</v>
      </c>
      <c r="J156" t="s">
        <v>31</v>
      </c>
      <c r="K156">
        <v>5</v>
      </c>
    </row>
    <row r="157" spans="1:11" x14ac:dyDescent="0.3">
      <c r="A157">
        <v>1156</v>
      </c>
      <c r="B157" s="2">
        <v>46078.911823647293</v>
      </c>
      <c r="C157" t="s">
        <v>25</v>
      </c>
      <c r="D157" t="s">
        <v>44</v>
      </c>
      <c r="E157" t="s">
        <v>29</v>
      </c>
      <c r="F157" t="s">
        <v>19</v>
      </c>
      <c r="G157">
        <v>1</v>
      </c>
      <c r="H157">
        <v>12000</v>
      </c>
      <c r="I157">
        <v>12000</v>
      </c>
      <c r="J157" t="s">
        <v>31</v>
      </c>
      <c r="K157">
        <v>4</v>
      </c>
    </row>
    <row r="158" spans="1:11" x14ac:dyDescent="0.3">
      <c r="A158">
        <v>1157</v>
      </c>
      <c r="B158" s="2">
        <v>46079.272545090171</v>
      </c>
      <c r="C158" t="s">
        <v>30</v>
      </c>
      <c r="D158" t="s">
        <v>38</v>
      </c>
      <c r="E158" t="s">
        <v>27</v>
      </c>
      <c r="F158" t="s">
        <v>19</v>
      </c>
      <c r="G158">
        <v>1</v>
      </c>
      <c r="H158">
        <v>55000</v>
      </c>
      <c r="I158">
        <v>55000</v>
      </c>
      <c r="J158" t="s">
        <v>15</v>
      </c>
      <c r="K158">
        <v>5</v>
      </c>
    </row>
    <row r="159" spans="1:11" x14ac:dyDescent="0.3">
      <c r="A159">
        <v>1158</v>
      </c>
      <c r="B159" s="2">
        <v>46079.633266533063</v>
      </c>
      <c r="C159" t="s">
        <v>36</v>
      </c>
      <c r="D159" t="s">
        <v>12</v>
      </c>
      <c r="E159" t="s">
        <v>27</v>
      </c>
      <c r="F159" t="s">
        <v>19</v>
      </c>
      <c r="G159">
        <v>2</v>
      </c>
      <c r="H159">
        <v>55000</v>
      </c>
      <c r="I159">
        <v>110000</v>
      </c>
      <c r="J159" t="s">
        <v>20</v>
      </c>
      <c r="K159">
        <v>4</v>
      </c>
    </row>
    <row r="160" spans="1:11" x14ac:dyDescent="0.3">
      <c r="A160">
        <v>1159</v>
      </c>
      <c r="B160" s="2">
        <v>46079.993987975948</v>
      </c>
      <c r="C160" t="s">
        <v>48</v>
      </c>
      <c r="D160" t="s">
        <v>17</v>
      </c>
      <c r="E160" t="s">
        <v>33</v>
      </c>
      <c r="F160" t="s">
        <v>14</v>
      </c>
      <c r="G160">
        <v>1</v>
      </c>
      <c r="H160">
        <v>2500</v>
      </c>
      <c r="I160">
        <v>2500</v>
      </c>
      <c r="J160" t="s">
        <v>45</v>
      </c>
      <c r="K160">
        <v>4</v>
      </c>
    </row>
    <row r="161" spans="1:11" x14ac:dyDescent="0.3">
      <c r="A161">
        <v>1160</v>
      </c>
      <c r="B161" s="2">
        <v>46080.354709418832</v>
      </c>
      <c r="C161" t="s">
        <v>16</v>
      </c>
      <c r="D161" t="s">
        <v>38</v>
      </c>
      <c r="E161" t="s">
        <v>29</v>
      </c>
      <c r="F161" t="s">
        <v>19</v>
      </c>
      <c r="G161">
        <v>3</v>
      </c>
      <c r="H161">
        <v>12000</v>
      </c>
      <c r="I161">
        <v>36000</v>
      </c>
      <c r="J161" t="s">
        <v>20</v>
      </c>
      <c r="K161">
        <v>2</v>
      </c>
    </row>
    <row r="162" spans="1:11" x14ac:dyDescent="0.3">
      <c r="A162">
        <v>1161</v>
      </c>
      <c r="B162" s="2">
        <v>46080.71543086171</v>
      </c>
      <c r="C162" t="s">
        <v>41</v>
      </c>
      <c r="D162" t="s">
        <v>38</v>
      </c>
      <c r="E162" t="s">
        <v>18</v>
      </c>
      <c r="F162" t="s">
        <v>19</v>
      </c>
      <c r="G162">
        <v>2</v>
      </c>
      <c r="H162">
        <v>22500</v>
      </c>
      <c r="I162">
        <v>45000</v>
      </c>
      <c r="J162" t="s">
        <v>20</v>
      </c>
      <c r="K162">
        <v>4</v>
      </c>
    </row>
    <row r="163" spans="1:11" x14ac:dyDescent="0.3">
      <c r="A163">
        <v>1162</v>
      </c>
      <c r="B163" s="2">
        <v>46081.076152304609</v>
      </c>
      <c r="C163" t="s">
        <v>50</v>
      </c>
      <c r="D163" t="s">
        <v>17</v>
      </c>
      <c r="E163" t="s">
        <v>39</v>
      </c>
      <c r="F163" t="s">
        <v>19</v>
      </c>
      <c r="G163">
        <v>1</v>
      </c>
      <c r="H163">
        <v>25000</v>
      </c>
      <c r="I163">
        <v>25000</v>
      </c>
      <c r="J163" t="s">
        <v>20</v>
      </c>
      <c r="K163">
        <v>5</v>
      </c>
    </row>
    <row r="164" spans="1:11" x14ac:dyDescent="0.3">
      <c r="A164">
        <v>1163</v>
      </c>
      <c r="B164" s="2">
        <v>46081.436873747487</v>
      </c>
      <c r="C164" t="s">
        <v>48</v>
      </c>
      <c r="D164" t="s">
        <v>38</v>
      </c>
      <c r="E164" t="s">
        <v>13</v>
      </c>
      <c r="F164" t="s">
        <v>14</v>
      </c>
      <c r="G164">
        <v>1</v>
      </c>
      <c r="H164">
        <v>1500</v>
      </c>
      <c r="I164">
        <v>1500</v>
      </c>
      <c r="J164" t="s">
        <v>31</v>
      </c>
      <c r="K164">
        <v>4</v>
      </c>
    </row>
    <row r="165" spans="1:11" x14ac:dyDescent="0.3">
      <c r="A165">
        <v>1164</v>
      </c>
      <c r="B165" s="2">
        <v>46081.797595190372</v>
      </c>
      <c r="C165" t="s">
        <v>50</v>
      </c>
      <c r="D165" t="s">
        <v>22</v>
      </c>
      <c r="E165" t="s">
        <v>18</v>
      </c>
      <c r="F165" t="s">
        <v>19</v>
      </c>
      <c r="G165">
        <v>2</v>
      </c>
      <c r="H165">
        <v>22000</v>
      </c>
      <c r="I165">
        <v>44000</v>
      </c>
      <c r="J165" t="s">
        <v>20</v>
      </c>
      <c r="K165">
        <v>3</v>
      </c>
    </row>
    <row r="166" spans="1:11" x14ac:dyDescent="0.3">
      <c r="A166">
        <v>1165</v>
      </c>
      <c r="B166" s="2">
        <v>46082.158316633257</v>
      </c>
      <c r="C166" t="s">
        <v>40</v>
      </c>
      <c r="D166" t="s">
        <v>44</v>
      </c>
      <c r="E166" t="s">
        <v>27</v>
      </c>
      <c r="F166" t="s">
        <v>19</v>
      </c>
      <c r="G166">
        <v>1</v>
      </c>
      <c r="H166">
        <v>55000</v>
      </c>
      <c r="I166">
        <v>55000</v>
      </c>
      <c r="J166" t="s">
        <v>15</v>
      </c>
      <c r="K166">
        <v>5</v>
      </c>
    </row>
    <row r="167" spans="1:11" x14ac:dyDescent="0.3">
      <c r="A167">
        <v>1166</v>
      </c>
      <c r="B167" s="2">
        <v>46082.519038076149</v>
      </c>
      <c r="C167" t="s">
        <v>36</v>
      </c>
      <c r="D167" t="s">
        <v>12</v>
      </c>
      <c r="E167" t="s">
        <v>23</v>
      </c>
      <c r="F167" t="s">
        <v>24</v>
      </c>
      <c r="G167">
        <v>3</v>
      </c>
      <c r="H167">
        <v>14000</v>
      </c>
      <c r="I167">
        <v>42000</v>
      </c>
      <c r="J167" t="s">
        <v>15</v>
      </c>
      <c r="K167">
        <v>5</v>
      </c>
    </row>
    <row r="168" spans="1:11" x14ac:dyDescent="0.3">
      <c r="A168">
        <v>1167</v>
      </c>
      <c r="B168" s="2">
        <v>46082.879759519034</v>
      </c>
      <c r="C168" t="s">
        <v>47</v>
      </c>
      <c r="D168" t="s">
        <v>44</v>
      </c>
      <c r="E168" t="s">
        <v>43</v>
      </c>
      <c r="F168" t="s">
        <v>14</v>
      </c>
      <c r="G168">
        <v>4</v>
      </c>
      <c r="H168">
        <v>800</v>
      </c>
      <c r="I168">
        <v>3200</v>
      </c>
      <c r="J168" t="s">
        <v>15</v>
      </c>
      <c r="K168">
        <v>3</v>
      </c>
    </row>
    <row r="169" spans="1:11" x14ac:dyDescent="0.3">
      <c r="A169">
        <v>1168</v>
      </c>
      <c r="B169" s="2">
        <v>46083.240480961918</v>
      </c>
      <c r="C169" t="s">
        <v>51</v>
      </c>
      <c r="D169" t="s">
        <v>44</v>
      </c>
      <c r="E169" t="s">
        <v>13</v>
      </c>
      <c r="F169" t="s">
        <v>14</v>
      </c>
      <c r="G169">
        <v>1</v>
      </c>
      <c r="H169">
        <v>2000</v>
      </c>
      <c r="I169">
        <v>2000</v>
      </c>
      <c r="J169" t="s">
        <v>15</v>
      </c>
      <c r="K169">
        <v>5</v>
      </c>
    </row>
    <row r="170" spans="1:11" x14ac:dyDescent="0.3">
      <c r="A170">
        <v>1169</v>
      </c>
      <c r="B170" s="2">
        <v>46083.601202404803</v>
      </c>
      <c r="C170" t="s">
        <v>42</v>
      </c>
      <c r="D170" t="s">
        <v>38</v>
      </c>
      <c r="E170" t="s">
        <v>18</v>
      </c>
      <c r="F170" t="s">
        <v>19</v>
      </c>
      <c r="G170">
        <v>4</v>
      </c>
      <c r="H170">
        <v>22500</v>
      </c>
      <c r="I170">
        <v>90000</v>
      </c>
      <c r="J170" t="s">
        <v>45</v>
      </c>
      <c r="K170">
        <v>5</v>
      </c>
    </row>
    <row r="171" spans="1:11" x14ac:dyDescent="0.3">
      <c r="A171">
        <v>1170</v>
      </c>
      <c r="B171" s="2">
        <v>46083.961923847688</v>
      </c>
      <c r="C171" t="s">
        <v>25</v>
      </c>
      <c r="D171" t="s">
        <v>22</v>
      </c>
      <c r="E171" t="s">
        <v>27</v>
      </c>
      <c r="F171" t="s">
        <v>19</v>
      </c>
      <c r="G171">
        <v>3</v>
      </c>
      <c r="H171">
        <v>55000</v>
      </c>
      <c r="I171">
        <v>165000</v>
      </c>
      <c r="J171" t="s">
        <v>31</v>
      </c>
      <c r="K171">
        <v>5</v>
      </c>
    </row>
    <row r="172" spans="1:11" x14ac:dyDescent="0.3">
      <c r="A172">
        <v>1171</v>
      </c>
      <c r="B172" s="2">
        <v>46084.32264529058</v>
      </c>
      <c r="C172" t="s">
        <v>28</v>
      </c>
      <c r="D172" t="s">
        <v>38</v>
      </c>
      <c r="E172" t="s">
        <v>27</v>
      </c>
      <c r="F172" t="s">
        <v>19</v>
      </c>
      <c r="G172">
        <v>3</v>
      </c>
      <c r="H172">
        <v>55000</v>
      </c>
      <c r="I172">
        <v>165000</v>
      </c>
      <c r="J172" t="s">
        <v>20</v>
      </c>
      <c r="K172">
        <v>5</v>
      </c>
    </row>
    <row r="173" spans="1:11" x14ac:dyDescent="0.3">
      <c r="A173">
        <v>1172</v>
      </c>
      <c r="B173" s="2">
        <v>46084.683366733458</v>
      </c>
      <c r="C173" t="s">
        <v>16</v>
      </c>
      <c r="D173" t="s">
        <v>17</v>
      </c>
      <c r="E173" t="s">
        <v>18</v>
      </c>
      <c r="F173" t="s">
        <v>19</v>
      </c>
      <c r="G173">
        <v>2</v>
      </c>
      <c r="H173">
        <v>22000</v>
      </c>
      <c r="I173">
        <v>44000</v>
      </c>
      <c r="J173" t="s">
        <v>15</v>
      </c>
      <c r="K173">
        <v>4</v>
      </c>
    </row>
    <row r="174" spans="1:11" x14ac:dyDescent="0.3">
      <c r="A174">
        <v>1173</v>
      </c>
      <c r="B174" s="2">
        <v>46085.044088176342</v>
      </c>
      <c r="C174" t="s">
        <v>50</v>
      </c>
      <c r="D174" t="s">
        <v>44</v>
      </c>
      <c r="E174" t="s">
        <v>39</v>
      </c>
      <c r="F174" t="s">
        <v>19</v>
      </c>
      <c r="G174">
        <v>2</v>
      </c>
      <c r="H174">
        <v>24500</v>
      </c>
      <c r="I174">
        <v>49000</v>
      </c>
      <c r="J174" t="s">
        <v>20</v>
      </c>
      <c r="K174">
        <v>5</v>
      </c>
    </row>
    <row r="175" spans="1:11" x14ac:dyDescent="0.3">
      <c r="A175">
        <v>1174</v>
      </c>
      <c r="B175" s="2">
        <v>46085.404809619227</v>
      </c>
      <c r="C175" t="s">
        <v>47</v>
      </c>
      <c r="D175" t="s">
        <v>12</v>
      </c>
      <c r="E175" t="s">
        <v>27</v>
      </c>
      <c r="F175" t="s">
        <v>19</v>
      </c>
      <c r="G175">
        <v>3</v>
      </c>
      <c r="H175">
        <v>55000</v>
      </c>
      <c r="I175">
        <v>165000</v>
      </c>
      <c r="J175" t="s">
        <v>31</v>
      </c>
      <c r="K175">
        <v>5</v>
      </c>
    </row>
    <row r="176" spans="1:11" x14ac:dyDescent="0.3">
      <c r="A176">
        <v>1175</v>
      </c>
      <c r="B176" s="2">
        <v>46085.765531062119</v>
      </c>
      <c r="C176" t="s">
        <v>47</v>
      </c>
      <c r="D176" t="s">
        <v>17</v>
      </c>
      <c r="E176" t="s">
        <v>29</v>
      </c>
      <c r="F176" t="s">
        <v>19</v>
      </c>
      <c r="G176">
        <v>3</v>
      </c>
      <c r="H176">
        <v>12000</v>
      </c>
      <c r="I176">
        <v>36000</v>
      </c>
      <c r="J176" t="s">
        <v>45</v>
      </c>
      <c r="K176">
        <v>5</v>
      </c>
    </row>
    <row r="177" spans="1:11" x14ac:dyDescent="0.3">
      <c r="A177">
        <v>1176</v>
      </c>
      <c r="B177" s="2">
        <v>46086.126252504997</v>
      </c>
      <c r="C177" t="s">
        <v>42</v>
      </c>
      <c r="D177" t="s">
        <v>17</v>
      </c>
      <c r="E177" t="s">
        <v>39</v>
      </c>
      <c r="F177" t="s">
        <v>19</v>
      </c>
      <c r="G177">
        <v>3</v>
      </c>
      <c r="H177">
        <v>25000</v>
      </c>
      <c r="I177">
        <v>75000</v>
      </c>
      <c r="J177" t="s">
        <v>31</v>
      </c>
      <c r="K177">
        <v>5</v>
      </c>
    </row>
    <row r="178" spans="1:11" x14ac:dyDescent="0.3">
      <c r="A178">
        <v>1177</v>
      </c>
      <c r="B178" s="2">
        <v>46086.486973947904</v>
      </c>
      <c r="C178" t="s">
        <v>47</v>
      </c>
      <c r="D178" t="s">
        <v>12</v>
      </c>
      <c r="E178" t="s">
        <v>27</v>
      </c>
      <c r="F178" t="s">
        <v>19</v>
      </c>
      <c r="G178">
        <v>3</v>
      </c>
      <c r="H178">
        <v>55000</v>
      </c>
      <c r="I178">
        <v>165000</v>
      </c>
      <c r="J178" t="s">
        <v>15</v>
      </c>
      <c r="K178">
        <v>4</v>
      </c>
    </row>
    <row r="179" spans="1:11" x14ac:dyDescent="0.3">
      <c r="A179">
        <v>1178</v>
      </c>
      <c r="B179" s="2">
        <v>46086.847695390767</v>
      </c>
      <c r="C179" t="s">
        <v>35</v>
      </c>
      <c r="D179" t="s">
        <v>44</v>
      </c>
      <c r="E179" t="s">
        <v>39</v>
      </c>
      <c r="F179" t="s">
        <v>19</v>
      </c>
      <c r="G179">
        <v>1</v>
      </c>
      <c r="H179">
        <v>25000</v>
      </c>
      <c r="I179">
        <v>25000</v>
      </c>
      <c r="J179" t="s">
        <v>31</v>
      </c>
      <c r="K179">
        <v>2</v>
      </c>
    </row>
    <row r="180" spans="1:11" x14ac:dyDescent="0.3">
      <c r="A180">
        <v>1179</v>
      </c>
      <c r="B180" s="2">
        <v>46087.208416833659</v>
      </c>
      <c r="C180" t="s">
        <v>48</v>
      </c>
      <c r="D180" t="s">
        <v>12</v>
      </c>
      <c r="E180" t="s">
        <v>43</v>
      </c>
      <c r="F180" t="s">
        <v>14</v>
      </c>
      <c r="G180">
        <v>2</v>
      </c>
      <c r="H180">
        <v>1300</v>
      </c>
      <c r="I180">
        <v>2600</v>
      </c>
      <c r="J180" t="s">
        <v>31</v>
      </c>
      <c r="K180">
        <v>4</v>
      </c>
    </row>
    <row r="181" spans="1:11" x14ac:dyDescent="0.3">
      <c r="A181">
        <v>1180</v>
      </c>
      <c r="B181" s="2">
        <v>46087.569138276551</v>
      </c>
      <c r="C181" t="s">
        <v>42</v>
      </c>
      <c r="D181" t="s">
        <v>22</v>
      </c>
      <c r="E181" t="s">
        <v>39</v>
      </c>
      <c r="F181" t="s">
        <v>19</v>
      </c>
      <c r="G181">
        <v>1</v>
      </c>
      <c r="H181">
        <v>25000</v>
      </c>
      <c r="I181">
        <v>25000</v>
      </c>
      <c r="J181" t="s">
        <v>20</v>
      </c>
      <c r="K181">
        <v>4</v>
      </c>
    </row>
    <row r="182" spans="1:11" x14ac:dyDescent="0.3">
      <c r="A182">
        <v>1181</v>
      </c>
      <c r="B182" s="2">
        <v>46087.929859719443</v>
      </c>
      <c r="C182" t="s">
        <v>32</v>
      </c>
      <c r="D182" t="s">
        <v>17</v>
      </c>
      <c r="E182" t="s">
        <v>29</v>
      </c>
      <c r="F182" t="s">
        <v>19</v>
      </c>
      <c r="G182">
        <v>4</v>
      </c>
      <c r="H182">
        <v>12000</v>
      </c>
      <c r="I182">
        <v>48000</v>
      </c>
      <c r="J182" t="s">
        <v>31</v>
      </c>
      <c r="K182">
        <v>3</v>
      </c>
    </row>
    <row r="183" spans="1:11" x14ac:dyDescent="0.3">
      <c r="A183">
        <v>1182</v>
      </c>
      <c r="B183" s="2">
        <v>46088.290581162313</v>
      </c>
      <c r="C183" t="s">
        <v>42</v>
      </c>
      <c r="D183" t="s">
        <v>26</v>
      </c>
      <c r="E183" t="s">
        <v>13</v>
      </c>
      <c r="F183" t="s">
        <v>14</v>
      </c>
      <c r="G183">
        <v>2</v>
      </c>
      <c r="H183">
        <v>1000</v>
      </c>
      <c r="I183">
        <v>2000</v>
      </c>
      <c r="J183" t="s">
        <v>15</v>
      </c>
      <c r="K183">
        <v>5</v>
      </c>
    </row>
    <row r="184" spans="1:11" x14ac:dyDescent="0.3">
      <c r="A184">
        <v>1183</v>
      </c>
      <c r="B184" s="2">
        <v>46088.651302605213</v>
      </c>
      <c r="C184" t="s">
        <v>21</v>
      </c>
      <c r="D184" t="s">
        <v>17</v>
      </c>
      <c r="E184" t="s">
        <v>27</v>
      </c>
      <c r="F184" t="s">
        <v>19</v>
      </c>
      <c r="G184">
        <v>3</v>
      </c>
      <c r="H184">
        <v>55500</v>
      </c>
      <c r="I184">
        <v>166500</v>
      </c>
      <c r="J184" t="s">
        <v>31</v>
      </c>
      <c r="K184">
        <v>5</v>
      </c>
    </row>
    <row r="185" spans="1:11" x14ac:dyDescent="0.3">
      <c r="A185">
        <v>1184</v>
      </c>
      <c r="B185" s="2">
        <v>46089.01202404809</v>
      </c>
      <c r="C185" t="s">
        <v>25</v>
      </c>
      <c r="D185" t="s">
        <v>38</v>
      </c>
      <c r="E185" t="s">
        <v>13</v>
      </c>
      <c r="F185" t="s">
        <v>14</v>
      </c>
      <c r="G185">
        <v>1</v>
      </c>
      <c r="H185">
        <v>1500</v>
      </c>
      <c r="I185">
        <v>1500</v>
      </c>
      <c r="J185" t="s">
        <v>15</v>
      </c>
      <c r="K185">
        <v>2</v>
      </c>
    </row>
    <row r="186" spans="1:11" x14ac:dyDescent="0.3">
      <c r="A186">
        <v>1185</v>
      </c>
      <c r="B186" s="2">
        <v>46089.372745490968</v>
      </c>
      <c r="C186" t="s">
        <v>41</v>
      </c>
      <c r="D186" t="s">
        <v>44</v>
      </c>
      <c r="E186" t="s">
        <v>27</v>
      </c>
      <c r="F186" t="s">
        <v>19</v>
      </c>
      <c r="G186">
        <v>1</v>
      </c>
      <c r="H186">
        <v>55500</v>
      </c>
      <c r="I186">
        <v>55500</v>
      </c>
      <c r="J186" t="s">
        <v>45</v>
      </c>
      <c r="K186">
        <v>4</v>
      </c>
    </row>
    <row r="187" spans="1:11" x14ac:dyDescent="0.3">
      <c r="A187">
        <v>1186</v>
      </c>
      <c r="B187" s="2">
        <v>46089.733466933867</v>
      </c>
      <c r="C187" t="s">
        <v>25</v>
      </c>
      <c r="D187" t="s">
        <v>26</v>
      </c>
      <c r="E187" t="s">
        <v>18</v>
      </c>
      <c r="F187" t="s">
        <v>19</v>
      </c>
      <c r="G187">
        <v>1</v>
      </c>
      <c r="H187">
        <v>22000</v>
      </c>
      <c r="I187">
        <v>22000</v>
      </c>
      <c r="J187" t="s">
        <v>15</v>
      </c>
      <c r="K187">
        <v>3</v>
      </c>
    </row>
    <row r="188" spans="1:11" x14ac:dyDescent="0.3">
      <c r="A188">
        <v>1187</v>
      </c>
      <c r="B188" s="2">
        <v>46090.094188376737</v>
      </c>
      <c r="C188" t="s">
        <v>25</v>
      </c>
      <c r="D188" t="s">
        <v>44</v>
      </c>
      <c r="E188" t="s">
        <v>18</v>
      </c>
      <c r="F188" t="s">
        <v>19</v>
      </c>
      <c r="G188">
        <v>4</v>
      </c>
      <c r="H188">
        <v>21500</v>
      </c>
      <c r="I188">
        <v>86000</v>
      </c>
      <c r="J188" t="s">
        <v>31</v>
      </c>
      <c r="K188">
        <v>4</v>
      </c>
    </row>
    <row r="189" spans="1:11" x14ac:dyDescent="0.3">
      <c r="A189">
        <v>1188</v>
      </c>
      <c r="B189" s="2">
        <v>46090.454909819629</v>
      </c>
      <c r="C189" t="s">
        <v>51</v>
      </c>
      <c r="D189" t="s">
        <v>12</v>
      </c>
      <c r="E189" t="s">
        <v>43</v>
      </c>
      <c r="F189" t="s">
        <v>14</v>
      </c>
      <c r="G189">
        <v>5</v>
      </c>
      <c r="H189">
        <v>800</v>
      </c>
      <c r="I189">
        <v>4000</v>
      </c>
      <c r="J189" t="s">
        <v>15</v>
      </c>
      <c r="K189">
        <v>3</v>
      </c>
    </row>
    <row r="190" spans="1:11" x14ac:dyDescent="0.3">
      <c r="A190">
        <v>1189</v>
      </c>
      <c r="B190" s="2">
        <v>46090.815631262521</v>
      </c>
      <c r="C190" t="s">
        <v>50</v>
      </c>
      <c r="D190" t="s">
        <v>38</v>
      </c>
      <c r="E190" t="s">
        <v>29</v>
      </c>
      <c r="F190" t="s">
        <v>19</v>
      </c>
      <c r="G190">
        <v>1</v>
      </c>
      <c r="H190">
        <v>12000</v>
      </c>
      <c r="I190">
        <v>12000</v>
      </c>
      <c r="J190" t="s">
        <v>20</v>
      </c>
      <c r="K190">
        <v>4</v>
      </c>
    </row>
    <row r="191" spans="1:11" x14ac:dyDescent="0.3">
      <c r="A191">
        <v>1190</v>
      </c>
      <c r="B191" s="2">
        <v>46091.176352705414</v>
      </c>
      <c r="C191" t="s">
        <v>35</v>
      </c>
      <c r="D191" t="s">
        <v>12</v>
      </c>
      <c r="E191" t="s">
        <v>18</v>
      </c>
      <c r="F191" t="s">
        <v>19</v>
      </c>
      <c r="G191">
        <v>3</v>
      </c>
      <c r="H191">
        <v>22000</v>
      </c>
      <c r="I191">
        <v>66000</v>
      </c>
      <c r="J191" t="s">
        <v>45</v>
      </c>
      <c r="K191">
        <v>5</v>
      </c>
    </row>
    <row r="192" spans="1:11" x14ac:dyDescent="0.3">
      <c r="A192">
        <v>1191</v>
      </c>
      <c r="B192" s="2">
        <v>46091.537074148277</v>
      </c>
      <c r="C192" t="s">
        <v>41</v>
      </c>
      <c r="D192" t="s">
        <v>17</v>
      </c>
      <c r="E192" t="s">
        <v>27</v>
      </c>
      <c r="F192" t="s">
        <v>19</v>
      </c>
      <c r="G192">
        <v>1</v>
      </c>
      <c r="H192">
        <v>55500</v>
      </c>
      <c r="I192">
        <v>55500</v>
      </c>
      <c r="J192" t="s">
        <v>45</v>
      </c>
      <c r="K192">
        <v>4</v>
      </c>
    </row>
    <row r="193" spans="1:11" x14ac:dyDescent="0.3">
      <c r="A193">
        <v>1192</v>
      </c>
      <c r="B193" s="2">
        <v>46091.897795591183</v>
      </c>
      <c r="C193" t="s">
        <v>32</v>
      </c>
      <c r="D193" t="s">
        <v>22</v>
      </c>
      <c r="E193" t="s">
        <v>27</v>
      </c>
      <c r="F193" t="s">
        <v>19</v>
      </c>
      <c r="G193">
        <v>1</v>
      </c>
      <c r="H193">
        <v>55000</v>
      </c>
      <c r="I193">
        <v>55000</v>
      </c>
      <c r="J193" t="s">
        <v>15</v>
      </c>
      <c r="K193">
        <v>4</v>
      </c>
    </row>
    <row r="194" spans="1:11" x14ac:dyDescent="0.3">
      <c r="A194">
        <v>1193</v>
      </c>
      <c r="B194" s="2">
        <v>46092.258517034061</v>
      </c>
      <c r="C194" t="s">
        <v>37</v>
      </c>
      <c r="D194" t="s">
        <v>38</v>
      </c>
      <c r="E194" t="s">
        <v>27</v>
      </c>
      <c r="F194" t="s">
        <v>19</v>
      </c>
      <c r="G194">
        <v>2</v>
      </c>
      <c r="H194">
        <v>55000</v>
      </c>
      <c r="I194">
        <v>110000</v>
      </c>
      <c r="J194" t="s">
        <v>20</v>
      </c>
      <c r="K194">
        <v>3</v>
      </c>
    </row>
    <row r="195" spans="1:11" x14ac:dyDescent="0.3">
      <c r="A195">
        <v>1194</v>
      </c>
      <c r="B195" s="2">
        <v>46092.619238476953</v>
      </c>
      <c r="C195" t="s">
        <v>25</v>
      </c>
      <c r="D195" t="s">
        <v>26</v>
      </c>
      <c r="E195" t="s">
        <v>33</v>
      </c>
      <c r="F195" t="s">
        <v>14</v>
      </c>
      <c r="G195">
        <v>2</v>
      </c>
      <c r="H195">
        <v>2500</v>
      </c>
      <c r="I195">
        <v>5000</v>
      </c>
      <c r="J195" t="s">
        <v>15</v>
      </c>
      <c r="K195">
        <v>5</v>
      </c>
    </row>
    <row r="196" spans="1:11" x14ac:dyDescent="0.3">
      <c r="A196">
        <v>1195</v>
      </c>
      <c r="B196" s="2">
        <v>46092.979959919838</v>
      </c>
      <c r="C196" t="s">
        <v>47</v>
      </c>
      <c r="D196" t="s">
        <v>22</v>
      </c>
      <c r="E196" t="s">
        <v>18</v>
      </c>
      <c r="F196" t="s">
        <v>19</v>
      </c>
      <c r="G196">
        <v>3</v>
      </c>
      <c r="H196">
        <v>21500</v>
      </c>
      <c r="I196">
        <v>64500</v>
      </c>
      <c r="J196" t="s">
        <v>15</v>
      </c>
      <c r="K196">
        <v>5</v>
      </c>
    </row>
    <row r="197" spans="1:11" x14ac:dyDescent="0.3">
      <c r="A197">
        <v>1196</v>
      </c>
      <c r="B197" s="2">
        <v>46093.340681362723</v>
      </c>
      <c r="C197" t="s">
        <v>30</v>
      </c>
      <c r="D197" t="s">
        <v>22</v>
      </c>
      <c r="E197" t="s">
        <v>27</v>
      </c>
      <c r="F197" t="s">
        <v>19</v>
      </c>
      <c r="G197">
        <v>2</v>
      </c>
      <c r="H197">
        <v>55000</v>
      </c>
      <c r="I197">
        <v>110000</v>
      </c>
      <c r="J197" t="s">
        <v>31</v>
      </c>
      <c r="K197">
        <v>2</v>
      </c>
    </row>
    <row r="198" spans="1:11" x14ac:dyDescent="0.3">
      <c r="A198">
        <v>1197</v>
      </c>
      <c r="B198" s="2">
        <v>46093.7014028056</v>
      </c>
      <c r="C198" t="s">
        <v>36</v>
      </c>
      <c r="D198" t="s">
        <v>26</v>
      </c>
      <c r="E198" t="s">
        <v>13</v>
      </c>
      <c r="F198" t="s">
        <v>14</v>
      </c>
      <c r="G198">
        <v>2</v>
      </c>
      <c r="H198">
        <v>1000</v>
      </c>
      <c r="I198">
        <v>2000</v>
      </c>
      <c r="J198" t="s">
        <v>15</v>
      </c>
      <c r="K198">
        <v>3</v>
      </c>
    </row>
    <row r="199" spans="1:11" x14ac:dyDescent="0.3">
      <c r="A199">
        <v>1198</v>
      </c>
      <c r="B199" s="2">
        <v>46094.062124248492</v>
      </c>
      <c r="C199" t="s">
        <v>35</v>
      </c>
      <c r="D199" t="s">
        <v>12</v>
      </c>
      <c r="E199" t="s">
        <v>13</v>
      </c>
      <c r="F199" t="s">
        <v>14</v>
      </c>
      <c r="G199">
        <v>1</v>
      </c>
      <c r="H199">
        <v>1500</v>
      </c>
      <c r="I199">
        <v>1500</v>
      </c>
      <c r="J199" t="s">
        <v>45</v>
      </c>
      <c r="K199">
        <v>4</v>
      </c>
    </row>
    <row r="200" spans="1:11" x14ac:dyDescent="0.3">
      <c r="A200">
        <v>1199</v>
      </c>
      <c r="B200" s="2">
        <v>46094.422845691377</v>
      </c>
      <c r="C200" t="s">
        <v>41</v>
      </c>
      <c r="D200" t="s">
        <v>38</v>
      </c>
      <c r="E200" t="s">
        <v>43</v>
      </c>
      <c r="F200" t="s">
        <v>14</v>
      </c>
      <c r="G200">
        <v>1</v>
      </c>
      <c r="H200">
        <v>800</v>
      </c>
      <c r="I200">
        <v>800</v>
      </c>
      <c r="J200" t="s">
        <v>15</v>
      </c>
      <c r="K200">
        <v>5</v>
      </c>
    </row>
    <row r="201" spans="1:11" x14ac:dyDescent="0.3">
      <c r="A201">
        <v>1200</v>
      </c>
      <c r="B201" s="2">
        <v>46094.783567134262</v>
      </c>
      <c r="C201" t="s">
        <v>37</v>
      </c>
      <c r="D201" t="s">
        <v>12</v>
      </c>
      <c r="E201" t="s">
        <v>27</v>
      </c>
      <c r="F201" t="s">
        <v>19</v>
      </c>
      <c r="G201">
        <v>2</v>
      </c>
      <c r="H201">
        <v>55000</v>
      </c>
      <c r="I201">
        <v>110000</v>
      </c>
      <c r="J201" t="s">
        <v>31</v>
      </c>
      <c r="K201">
        <v>5</v>
      </c>
    </row>
    <row r="202" spans="1:11" x14ac:dyDescent="0.3">
      <c r="A202">
        <v>1201</v>
      </c>
      <c r="B202" s="2">
        <v>46095.144288577147</v>
      </c>
      <c r="C202" t="s">
        <v>50</v>
      </c>
      <c r="D202" t="s">
        <v>17</v>
      </c>
      <c r="E202" t="s">
        <v>29</v>
      </c>
      <c r="F202" t="s">
        <v>19</v>
      </c>
      <c r="G202">
        <v>2</v>
      </c>
      <c r="H202">
        <v>12000</v>
      </c>
      <c r="I202">
        <v>24000</v>
      </c>
      <c r="J202" t="s">
        <v>31</v>
      </c>
      <c r="K202">
        <v>5</v>
      </c>
    </row>
    <row r="203" spans="1:11" x14ac:dyDescent="0.3">
      <c r="A203">
        <v>1202</v>
      </c>
      <c r="B203" s="2">
        <v>46095.505010020031</v>
      </c>
      <c r="C203" t="s">
        <v>35</v>
      </c>
      <c r="D203" t="s">
        <v>38</v>
      </c>
      <c r="E203" t="s">
        <v>33</v>
      </c>
      <c r="F203" t="s">
        <v>14</v>
      </c>
      <c r="G203">
        <v>1</v>
      </c>
      <c r="H203">
        <v>2500</v>
      </c>
      <c r="I203">
        <v>2500</v>
      </c>
      <c r="J203" t="s">
        <v>31</v>
      </c>
      <c r="K203">
        <v>5</v>
      </c>
    </row>
    <row r="204" spans="1:11" x14ac:dyDescent="0.3">
      <c r="A204">
        <v>1203</v>
      </c>
      <c r="B204" s="2">
        <v>46095.865731462924</v>
      </c>
      <c r="C204" t="s">
        <v>47</v>
      </c>
      <c r="D204" t="s">
        <v>26</v>
      </c>
      <c r="E204" t="s">
        <v>29</v>
      </c>
      <c r="F204" t="s">
        <v>19</v>
      </c>
      <c r="G204">
        <v>1</v>
      </c>
      <c r="H204">
        <v>12000</v>
      </c>
      <c r="I204">
        <v>12000</v>
      </c>
      <c r="J204" t="s">
        <v>15</v>
      </c>
      <c r="K204">
        <v>4</v>
      </c>
    </row>
    <row r="205" spans="1:11" x14ac:dyDescent="0.3">
      <c r="A205">
        <v>1204</v>
      </c>
      <c r="B205" s="2">
        <v>46096.226452905808</v>
      </c>
      <c r="C205" t="s">
        <v>34</v>
      </c>
      <c r="D205" t="s">
        <v>26</v>
      </c>
      <c r="E205" t="s">
        <v>39</v>
      </c>
      <c r="F205" t="s">
        <v>19</v>
      </c>
      <c r="G205">
        <v>2</v>
      </c>
      <c r="H205">
        <v>25000</v>
      </c>
      <c r="I205">
        <v>50000</v>
      </c>
      <c r="J205" t="s">
        <v>31</v>
      </c>
      <c r="K205">
        <v>4</v>
      </c>
    </row>
    <row r="206" spans="1:11" x14ac:dyDescent="0.3">
      <c r="A206">
        <v>1205</v>
      </c>
      <c r="B206" s="2">
        <v>46096.587174348693</v>
      </c>
      <c r="C206" t="s">
        <v>42</v>
      </c>
      <c r="D206" t="s">
        <v>38</v>
      </c>
      <c r="E206" t="s">
        <v>23</v>
      </c>
      <c r="F206" t="s">
        <v>24</v>
      </c>
      <c r="G206">
        <v>5</v>
      </c>
      <c r="H206">
        <v>14000</v>
      </c>
      <c r="I206">
        <v>70000</v>
      </c>
      <c r="J206" t="s">
        <v>31</v>
      </c>
      <c r="K206">
        <v>3</v>
      </c>
    </row>
    <row r="207" spans="1:11" x14ac:dyDescent="0.3">
      <c r="A207">
        <v>1206</v>
      </c>
      <c r="B207" s="2">
        <v>46096.947895791571</v>
      </c>
      <c r="C207" t="s">
        <v>30</v>
      </c>
      <c r="D207" t="s">
        <v>44</v>
      </c>
      <c r="E207" t="s">
        <v>27</v>
      </c>
      <c r="F207" t="s">
        <v>19</v>
      </c>
      <c r="G207">
        <v>1</v>
      </c>
      <c r="H207">
        <v>55000</v>
      </c>
      <c r="I207">
        <v>55000</v>
      </c>
      <c r="J207" t="s">
        <v>15</v>
      </c>
      <c r="K207">
        <v>4</v>
      </c>
    </row>
    <row r="208" spans="1:11" x14ac:dyDescent="0.3">
      <c r="A208">
        <v>1207</v>
      </c>
      <c r="B208" s="2">
        <v>46097.30861723447</v>
      </c>
      <c r="C208" t="s">
        <v>28</v>
      </c>
      <c r="D208" t="s">
        <v>17</v>
      </c>
      <c r="E208" t="s">
        <v>23</v>
      </c>
      <c r="F208" t="s">
        <v>24</v>
      </c>
      <c r="G208">
        <v>1</v>
      </c>
      <c r="H208">
        <v>14000</v>
      </c>
      <c r="I208">
        <v>14000</v>
      </c>
      <c r="J208" t="s">
        <v>15</v>
      </c>
      <c r="K208">
        <v>4</v>
      </c>
    </row>
    <row r="209" spans="1:11" x14ac:dyDescent="0.3">
      <c r="A209">
        <v>1208</v>
      </c>
      <c r="B209" s="2">
        <v>46097.669338677348</v>
      </c>
      <c r="C209" t="s">
        <v>11</v>
      </c>
      <c r="D209" t="s">
        <v>12</v>
      </c>
      <c r="E209" t="s">
        <v>29</v>
      </c>
      <c r="F209" t="s">
        <v>19</v>
      </c>
      <c r="G209">
        <v>2</v>
      </c>
      <c r="H209">
        <v>12000</v>
      </c>
      <c r="I209">
        <v>24000</v>
      </c>
      <c r="J209" t="s">
        <v>20</v>
      </c>
      <c r="K209">
        <v>4</v>
      </c>
    </row>
    <row r="210" spans="1:11" x14ac:dyDescent="0.3">
      <c r="A210">
        <v>1209</v>
      </c>
      <c r="B210" s="2">
        <v>46098.030060120233</v>
      </c>
      <c r="C210" t="s">
        <v>25</v>
      </c>
      <c r="D210" t="s">
        <v>22</v>
      </c>
      <c r="E210" t="s">
        <v>13</v>
      </c>
      <c r="F210" t="s">
        <v>14</v>
      </c>
      <c r="G210">
        <v>1</v>
      </c>
      <c r="H210">
        <v>1500</v>
      </c>
      <c r="I210">
        <v>1500</v>
      </c>
      <c r="J210" t="s">
        <v>15</v>
      </c>
      <c r="K210">
        <v>5</v>
      </c>
    </row>
    <row r="211" spans="1:11" x14ac:dyDescent="0.3">
      <c r="A211">
        <v>1210</v>
      </c>
      <c r="B211" s="2">
        <v>46098.390781563117</v>
      </c>
      <c r="C211" t="s">
        <v>35</v>
      </c>
      <c r="D211" t="s">
        <v>12</v>
      </c>
      <c r="E211" t="s">
        <v>23</v>
      </c>
      <c r="F211" t="s">
        <v>24</v>
      </c>
      <c r="G211">
        <v>1</v>
      </c>
      <c r="H211">
        <v>14000</v>
      </c>
      <c r="I211">
        <v>14000</v>
      </c>
      <c r="J211" t="s">
        <v>15</v>
      </c>
      <c r="K211">
        <v>5</v>
      </c>
    </row>
    <row r="212" spans="1:11" x14ac:dyDescent="0.3">
      <c r="A212">
        <v>1211</v>
      </c>
      <c r="B212" s="2">
        <v>46098.751503006009</v>
      </c>
      <c r="C212" t="s">
        <v>25</v>
      </c>
      <c r="D212" t="s">
        <v>26</v>
      </c>
      <c r="E212" t="s">
        <v>33</v>
      </c>
      <c r="F212" t="s">
        <v>14</v>
      </c>
      <c r="G212">
        <v>1</v>
      </c>
      <c r="H212">
        <v>2500</v>
      </c>
      <c r="I212">
        <v>2500</v>
      </c>
      <c r="J212" t="s">
        <v>31</v>
      </c>
      <c r="K212">
        <v>4</v>
      </c>
    </row>
    <row r="213" spans="1:11" x14ac:dyDescent="0.3">
      <c r="A213">
        <v>1212</v>
      </c>
      <c r="B213" s="2">
        <v>46099.112224448887</v>
      </c>
      <c r="C213" t="s">
        <v>16</v>
      </c>
      <c r="D213" t="s">
        <v>38</v>
      </c>
      <c r="E213" t="s">
        <v>29</v>
      </c>
      <c r="F213" t="s">
        <v>19</v>
      </c>
      <c r="G213">
        <v>1</v>
      </c>
      <c r="H213">
        <v>12000</v>
      </c>
      <c r="I213">
        <v>12000</v>
      </c>
      <c r="J213" t="s">
        <v>31</v>
      </c>
      <c r="K213">
        <v>4</v>
      </c>
    </row>
    <row r="214" spans="1:11" x14ac:dyDescent="0.3">
      <c r="A214">
        <v>1213</v>
      </c>
      <c r="B214" s="2">
        <v>46099.472945891779</v>
      </c>
      <c r="C214" t="s">
        <v>25</v>
      </c>
      <c r="D214" t="s">
        <v>38</v>
      </c>
      <c r="E214" t="s">
        <v>39</v>
      </c>
      <c r="F214" t="s">
        <v>19</v>
      </c>
      <c r="G214">
        <v>1</v>
      </c>
      <c r="H214">
        <v>25500</v>
      </c>
      <c r="I214">
        <v>25500</v>
      </c>
      <c r="J214" t="s">
        <v>20</v>
      </c>
      <c r="K214">
        <v>4</v>
      </c>
    </row>
    <row r="215" spans="1:11" x14ac:dyDescent="0.3">
      <c r="A215">
        <v>1214</v>
      </c>
      <c r="B215" s="2">
        <v>46099.833667334657</v>
      </c>
      <c r="C215" t="s">
        <v>28</v>
      </c>
      <c r="D215" t="s">
        <v>22</v>
      </c>
      <c r="E215" t="s">
        <v>13</v>
      </c>
      <c r="F215" t="s">
        <v>14</v>
      </c>
      <c r="G215">
        <v>1</v>
      </c>
      <c r="H215">
        <v>1500</v>
      </c>
      <c r="I215">
        <v>1500</v>
      </c>
      <c r="J215" t="s">
        <v>31</v>
      </c>
      <c r="K215">
        <v>5</v>
      </c>
    </row>
    <row r="216" spans="1:11" x14ac:dyDescent="0.3">
      <c r="A216">
        <v>1215</v>
      </c>
      <c r="B216" s="2">
        <v>46100.194388777549</v>
      </c>
      <c r="C216" t="s">
        <v>46</v>
      </c>
      <c r="D216" t="s">
        <v>44</v>
      </c>
      <c r="E216" t="s">
        <v>23</v>
      </c>
      <c r="F216" t="s">
        <v>24</v>
      </c>
      <c r="G216">
        <v>1</v>
      </c>
      <c r="H216">
        <v>14000</v>
      </c>
      <c r="I216">
        <v>14000</v>
      </c>
      <c r="J216" t="s">
        <v>15</v>
      </c>
      <c r="K216">
        <v>4</v>
      </c>
    </row>
    <row r="217" spans="1:11" x14ac:dyDescent="0.3">
      <c r="A217">
        <v>1216</v>
      </c>
      <c r="B217" s="2">
        <v>46100.555110220441</v>
      </c>
      <c r="C217" t="s">
        <v>25</v>
      </c>
      <c r="D217" t="s">
        <v>26</v>
      </c>
      <c r="E217" t="s">
        <v>39</v>
      </c>
      <c r="F217" t="s">
        <v>19</v>
      </c>
      <c r="G217">
        <v>2</v>
      </c>
      <c r="H217">
        <v>25000</v>
      </c>
      <c r="I217">
        <v>50000</v>
      </c>
      <c r="J217" t="s">
        <v>15</v>
      </c>
      <c r="K217">
        <v>3</v>
      </c>
    </row>
    <row r="218" spans="1:11" x14ac:dyDescent="0.3">
      <c r="A218">
        <v>1217</v>
      </c>
      <c r="B218" s="2">
        <v>46100.915831663318</v>
      </c>
      <c r="C218" t="s">
        <v>30</v>
      </c>
      <c r="D218" t="s">
        <v>12</v>
      </c>
      <c r="E218" t="s">
        <v>43</v>
      </c>
      <c r="F218" t="s">
        <v>14</v>
      </c>
      <c r="G218">
        <v>1</v>
      </c>
      <c r="H218">
        <v>800</v>
      </c>
      <c r="I218">
        <v>800</v>
      </c>
      <c r="J218" t="s">
        <v>15</v>
      </c>
      <c r="K218">
        <v>3</v>
      </c>
    </row>
    <row r="219" spans="1:11" x14ac:dyDescent="0.3">
      <c r="A219">
        <v>1218</v>
      </c>
      <c r="B219" s="2">
        <v>46101.276553106203</v>
      </c>
      <c r="C219" t="s">
        <v>48</v>
      </c>
      <c r="D219" t="s">
        <v>38</v>
      </c>
      <c r="E219" t="s">
        <v>33</v>
      </c>
      <c r="F219" t="s">
        <v>14</v>
      </c>
      <c r="G219">
        <v>4</v>
      </c>
      <c r="H219">
        <v>2500</v>
      </c>
      <c r="I219">
        <v>10000</v>
      </c>
      <c r="J219" t="s">
        <v>15</v>
      </c>
      <c r="K219">
        <v>3</v>
      </c>
    </row>
    <row r="220" spans="1:11" x14ac:dyDescent="0.3">
      <c r="A220">
        <v>1219</v>
      </c>
      <c r="B220" s="2">
        <v>46101.637274549103</v>
      </c>
      <c r="C220" t="s">
        <v>16</v>
      </c>
      <c r="D220" t="s">
        <v>22</v>
      </c>
      <c r="E220" t="s">
        <v>23</v>
      </c>
      <c r="F220" t="s">
        <v>24</v>
      </c>
      <c r="G220">
        <v>4</v>
      </c>
      <c r="H220">
        <v>13500</v>
      </c>
      <c r="I220">
        <v>54000</v>
      </c>
      <c r="J220" t="s">
        <v>31</v>
      </c>
      <c r="K220">
        <v>5</v>
      </c>
    </row>
    <row r="221" spans="1:11" x14ac:dyDescent="0.3">
      <c r="A221">
        <v>1220</v>
      </c>
      <c r="B221" s="2">
        <v>46101.99799599198</v>
      </c>
      <c r="C221" t="s">
        <v>21</v>
      </c>
      <c r="D221" t="s">
        <v>26</v>
      </c>
      <c r="E221" t="s">
        <v>33</v>
      </c>
      <c r="F221" t="s">
        <v>14</v>
      </c>
      <c r="G221">
        <v>2</v>
      </c>
      <c r="H221">
        <v>2500</v>
      </c>
      <c r="I221">
        <v>5000</v>
      </c>
      <c r="J221" t="s">
        <v>15</v>
      </c>
      <c r="K221">
        <v>2</v>
      </c>
    </row>
    <row r="222" spans="1:11" x14ac:dyDescent="0.3">
      <c r="A222">
        <v>1221</v>
      </c>
      <c r="B222" s="2">
        <v>46102.358717434858</v>
      </c>
      <c r="C222" t="s">
        <v>37</v>
      </c>
      <c r="D222" t="s">
        <v>12</v>
      </c>
      <c r="E222" t="s">
        <v>13</v>
      </c>
      <c r="F222" t="s">
        <v>14</v>
      </c>
      <c r="G222">
        <v>2</v>
      </c>
      <c r="H222">
        <v>1500</v>
      </c>
      <c r="I222">
        <v>3000</v>
      </c>
      <c r="J222" t="s">
        <v>15</v>
      </c>
      <c r="K222">
        <v>5</v>
      </c>
    </row>
    <row r="223" spans="1:11" x14ac:dyDescent="0.3">
      <c r="A223">
        <v>1222</v>
      </c>
      <c r="B223" s="2">
        <v>46102.719438877757</v>
      </c>
      <c r="C223" t="s">
        <v>25</v>
      </c>
      <c r="D223" t="s">
        <v>12</v>
      </c>
      <c r="E223" t="s">
        <v>27</v>
      </c>
      <c r="F223" t="s">
        <v>19</v>
      </c>
      <c r="G223">
        <v>1</v>
      </c>
      <c r="H223">
        <v>55500</v>
      </c>
      <c r="I223">
        <v>55500</v>
      </c>
      <c r="J223" t="s">
        <v>31</v>
      </c>
      <c r="K223">
        <v>5</v>
      </c>
    </row>
    <row r="224" spans="1:11" x14ac:dyDescent="0.3">
      <c r="A224">
        <v>1223</v>
      </c>
      <c r="B224" s="2">
        <v>46103.080160320627</v>
      </c>
      <c r="C224" t="s">
        <v>37</v>
      </c>
      <c r="D224" t="s">
        <v>22</v>
      </c>
      <c r="E224" t="s">
        <v>13</v>
      </c>
      <c r="F224" t="s">
        <v>14</v>
      </c>
      <c r="G224">
        <v>1</v>
      </c>
      <c r="H224">
        <v>1500</v>
      </c>
      <c r="I224">
        <v>1500</v>
      </c>
      <c r="J224" t="s">
        <v>15</v>
      </c>
      <c r="K224">
        <v>5</v>
      </c>
    </row>
    <row r="225" spans="1:11" x14ac:dyDescent="0.3">
      <c r="A225">
        <v>1224</v>
      </c>
      <c r="B225" s="2">
        <v>46103.440881763519</v>
      </c>
      <c r="C225" t="s">
        <v>50</v>
      </c>
      <c r="D225" t="s">
        <v>26</v>
      </c>
      <c r="E225" t="s">
        <v>39</v>
      </c>
      <c r="F225" t="s">
        <v>19</v>
      </c>
      <c r="G225">
        <v>2</v>
      </c>
      <c r="H225">
        <v>25000</v>
      </c>
      <c r="I225">
        <v>50000</v>
      </c>
      <c r="J225" t="s">
        <v>15</v>
      </c>
      <c r="K225">
        <v>5</v>
      </c>
    </row>
    <row r="226" spans="1:11" x14ac:dyDescent="0.3">
      <c r="A226">
        <v>1225</v>
      </c>
      <c r="B226" s="2">
        <v>46103.801603206412</v>
      </c>
      <c r="C226" t="s">
        <v>51</v>
      </c>
      <c r="D226" t="s">
        <v>22</v>
      </c>
      <c r="E226" t="s">
        <v>27</v>
      </c>
      <c r="F226" t="s">
        <v>19</v>
      </c>
      <c r="G226">
        <v>2</v>
      </c>
      <c r="H226">
        <v>55500</v>
      </c>
      <c r="I226">
        <v>111000</v>
      </c>
      <c r="J226" t="s">
        <v>20</v>
      </c>
      <c r="K226">
        <v>5</v>
      </c>
    </row>
    <row r="227" spans="1:11" x14ac:dyDescent="0.3">
      <c r="A227">
        <v>1226</v>
      </c>
      <c r="B227" s="2">
        <v>46104.162324649304</v>
      </c>
      <c r="C227" t="s">
        <v>46</v>
      </c>
      <c r="D227" t="s">
        <v>17</v>
      </c>
      <c r="E227" t="s">
        <v>39</v>
      </c>
      <c r="F227" t="s">
        <v>19</v>
      </c>
      <c r="G227">
        <v>1</v>
      </c>
      <c r="H227">
        <v>25000</v>
      </c>
      <c r="I227">
        <v>25000</v>
      </c>
      <c r="J227" t="s">
        <v>31</v>
      </c>
      <c r="K227">
        <v>5</v>
      </c>
    </row>
    <row r="228" spans="1:11" x14ac:dyDescent="0.3">
      <c r="A228">
        <v>1227</v>
      </c>
      <c r="B228" s="2">
        <v>46104.523046092167</v>
      </c>
      <c r="C228" t="s">
        <v>36</v>
      </c>
      <c r="D228" t="s">
        <v>22</v>
      </c>
      <c r="E228" t="s">
        <v>23</v>
      </c>
      <c r="F228" t="s">
        <v>24</v>
      </c>
      <c r="G228">
        <v>1</v>
      </c>
      <c r="H228">
        <v>14500</v>
      </c>
      <c r="I228">
        <v>14500</v>
      </c>
      <c r="J228" t="s">
        <v>15</v>
      </c>
      <c r="K228">
        <v>5</v>
      </c>
    </row>
    <row r="229" spans="1:11" x14ac:dyDescent="0.3">
      <c r="A229">
        <v>1228</v>
      </c>
      <c r="B229" s="2">
        <v>46104.883767535073</v>
      </c>
      <c r="C229" t="s">
        <v>25</v>
      </c>
      <c r="D229" t="s">
        <v>22</v>
      </c>
      <c r="E229" t="s">
        <v>13</v>
      </c>
      <c r="F229" t="s">
        <v>14</v>
      </c>
      <c r="G229">
        <v>1</v>
      </c>
      <c r="H229">
        <v>1500</v>
      </c>
      <c r="I229">
        <v>1500</v>
      </c>
      <c r="J229" t="s">
        <v>15</v>
      </c>
      <c r="K229">
        <v>4</v>
      </c>
    </row>
    <row r="230" spans="1:11" x14ac:dyDescent="0.3">
      <c r="A230">
        <v>1229</v>
      </c>
      <c r="B230" s="2">
        <v>46105.244488977951</v>
      </c>
      <c r="C230" t="s">
        <v>48</v>
      </c>
      <c r="D230" t="s">
        <v>22</v>
      </c>
      <c r="E230" t="s">
        <v>39</v>
      </c>
      <c r="F230" t="s">
        <v>19</v>
      </c>
      <c r="G230">
        <v>1</v>
      </c>
      <c r="H230">
        <v>25000</v>
      </c>
      <c r="I230">
        <v>25000</v>
      </c>
      <c r="J230" t="s">
        <v>31</v>
      </c>
      <c r="K230">
        <v>2</v>
      </c>
    </row>
    <row r="231" spans="1:11" x14ac:dyDescent="0.3">
      <c r="A231">
        <v>1230</v>
      </c>
      <c r="B231" s="2">
        <v>46105.605210420843</v>
      </c>
      <c r="C231" t="s">
        <v>16</v>
      </c>
      <c r="D231" t="s">
        <v>26</v>
      </c>
      <c r="E231" t="s">
        <v>29</v>
      </c>
      <c r="F231" t="s">
        <v>19</v>
      </c>
      <c r="G231">
        <v>1</v>
      </c>
      <c r="H231">
        <v>12000</v>
      </c>
      <c r="I231">
        <v>12000</v>
      </c>
      <c r="J231" t="s">
        <v>31</v>
      </c>
      <c r="K231">
        <v>4</v>
      </c>
    </row>
    <row r="232" spans="1:11" x14ac:dyDescent="0.3">
      <c r="A232">
        <v>1231</v>
      </c>
      <c r="B232" s="2">
        <v>46105.965931863728</v>
      </c>
      <c r="C232" t="s">
        <v>21</v>
      </c>
      <c r="D232" t="s">
        <v>44</v>
      </c>
      <c r="E232" t="s">
        <v>23</v>
      </c>
      <c r="F232" t="s">
        <v>24</v>
      </c>
      <c r="G232">
        <v>3</v>
      </c>
      <c r="H232">
        <v>14500</v>
      </c>
      <c r="I232">
        <v>43500</v>
      </c>
      <c r="J232" t="s">
        <v>15</v>
      </c>
      <c r="K232">
        <v>5</v>
      </c>
    </row>
    <row r="233" spans="1:11" x14ac:dyDescent="0.3">
      <c r="A233">
        <v>1232</v>
      </c>
      <c r="B233" s="2">
        <v>46106.326653306613</v>
      </c>
      <c r="C233" t="s">
        <v>51</v>
      </c>
      <c r="D233" t="s">
        <v>26</v>
      </c>
      <c r="E233" t="s">
        <v>29</v>
      </c>
      <c r="F233" t="s">
        <v>19</v>
      </c>
      <c r="G233">
        <v>2</v>
      </c>
      <c r="H233">
        <v>12000</v>
      </c>
      <c r="I233">
        <v>24000</v>
      </c>
      <c r="J233" t="s">
        <v>31</v>
      </c>
      <c r="K233">
        <v>5</v>
      </c>
    </row>
    <row r="234" spans="1:11" x14ac:dyDescent="0.3">
      <c r="A234">
        <v>1233</v>
      </c>
      <c r="B234" s="2">
        <v>46106.68737474949</v>
      </c>
      <c r="C234" t="s">
        <v>25</v>
      </c>
      <c r="D234" t="s">
        <v>44</v>
      </c>
      <c r="E234" t="s">
        <v>27</v>
      </c>
      <c r="F234" t="s">
        <v>19</v>
      </c>
      <c r="G234">
        <v>1</v>
      </c>
      <c r="H234">
        <v>54500</v>
      </c>
      <c r="I234">
        <v>54500</v>
      </c>
      <c r="J234" t="s">
        <v>20</v>
      </c>
      <c r="K234">
        <v>4</v>
      </c>
    </row>
    <row r="235" spans="1:11" x14ac:dyDescent="0.3">
      <c r="A235">
        <v>1234</v>
      </c>
      <c r="B235" s="2">
        <v>46107.048096192382</v>
      </c>
      <c r="C235" t="s">
        <v>47</v>
      </c>
      <c r="D235" t="s">
        <v>12</v>
      </c>
      <c r="E235" t="s">
        <v>23</v>
      </c>
      <c r="F235" t="s">
        <v>24</v>
      </c>
      <c r="G235">
        <v>1</v>
      </c>
      <c r="H235">
        <v>14500</v>
      </c>
      <c r="I235">
        <v>14500</v>
      </c>
      <c r="J235" t="s">
        <v>15</v>
      </c>
      <c r="K235">
        <v>5</v>
      </c>
    </row>
    <row r="236" spans="1:11" x14ac:dyDescent="0.3">
      <c r="A236">
        <v>1235</v>
      </c>
      <c r="B236" s="2">
        <v>46107.408817635267</v>
      </c>
      <c r="C236" t="s">
        <v>41</v>
      </c>
      <c r="D236" t="s">
        <v>12</v>
      </c>
      <c r="E236" t="s">
        <v>33</v>
      </c>
      <c r="F236" t="s">
        <v>14</v>
      </c>
      <c r="G236">
        <v>2</v>
      </c>
      <c r="H236">
        <v>3000</v>
      </c>
      <c r="I236">
        <v>6000</v>
      </c>
      <c r="J236" t="s">
        <v>31</v>
      </c>
      <c r="K236">
        <v>5</v>
      </c>
    </row>
    <row r="237" spans="1:11" x14ac:dyDescent="0.3">
      <c r="A237">
        <v>1236</v>
      </c>
      <c r="B237" s="2">
        <v>46107.769539078137</v>
      </c>
      <c r="C237" t="s">
        <v>46</v>
      </c>
      <c r="D237" t="s">
        <v>17</v>
      </c>
      <c r="E237" t="s">
        <v>43</v>
      </c>
      <c r="F237" t="s">
        <v>14</v>
      </c>
      <c r="G237">
        <v>1</v>
      </c>
      <c r="H237">
        <v>800</v>
      </c>
      <c r="I237">
        <v>800</v>
      </c>
      <c r="J237" t="s">
        <v>15</v>
      </c>
      <c r="K237">
        <v>4</v>
      </c>
    </row>
    <row r="238" spans="1:11" x14ac:dyDescent="0.3">
      <c r="A238">
        <v>1237</v>
      </c>
      <c r="B238" s="2">
        <v>46108.130260521037</v>
      </c>
      <c r="C238" t="s">
        <v>42</v>
      </c>
      <c r="D238" t="s">
        <v>17</v>
      </c>
      <c r="E238" t="s">
        <v>39</v>
      </c>
      <c r="F238" t="s">
        <v>19</v>
      </c>
      <c r="G238">
        <v>1</v>
      </c>
      <c r="H238">
        <v>25000</v>
      </c>
      <c r="I238">
        <v>25000</v>
      </c>
      <c r="J238" t="s">
        <v>31</v>
      </c>
      <c r="K238">
        <v>3</v>
      </c>
    </row>
    <row r="239" spans="1:11" x14ac:dyDescent="0.3">
      <c r="A239">
        <v>1238</v>
      </c>
      <c r="B239" s="2">
        <v>46108.490981963922</v>
      </c>
      <c r="C239" t="s">
        <v>25</v>
      </c>
      <c r="D239" t="s">
        <v>38</v>
      </c>
      <c r="E239" t="s">
        <v>18</v>
      </c>
      <c r="F239" t="s">
        <v>19</v>
      </c>
      <c r="G239">
        <v>1</v>
      </c>
      <c r="H239">
        <v>22000</v>
      </c>
      <c r="I239">
        <v>22000</v>
      </c>
      <c r="J239" t="s">
        <v>15</v>
      </c>
      <c r="K239">
        <v>5</v>
      </c>
    </row>
    <row r="240" spans="1:11" x14ac:dyDescent="0.3">
      <c r="A240">
        <v>1239</v>
      </c>
      <c r="B240" s="2">
        <v>46108.851703406814</v>
      </c>
      <c r="C240" t="s">
        <v>25</v>
      </c>
      <c r="D240" t="s">
        <v>12</v>
      </c>
      <c r="E240" t="s">
        <v>33</v>
      </c>
      <c r="F240" t="s">
        <v>14</v>
      </c>
      <c r="G240">
        <v>2</v>
      </c>
      <c r="H240">
        <v>2500</v>
      </c>
      <c r="I240">
        <v>5000</v>
      </c>
      <c r="J240" t="s">
        <v>15</v>
      </c>
      <c r="K240">
        <v>4</v>
      </c>
    </row>
    <row r="241" spans="1:11" x14ac:dyDescent="0.3">
      <c r="A241">
        <v>1240</v>
      </c>
      <c r="B241" s="2">
        <v>46109.212424849698</v>
      </c>
      <c r="C241" t="s">
        <v>40</v>
      </c>
      <c r="D241" t="s">
        <v>17</v>
      </c>
      <c r="E241" t="s">
        <v>23</v>
      </c>
      <c r="F241" t="s">
        <v>24</v>
      </c>
      <c r="G241">
        <v>3</v>
      </c>
      <c r="H241">
        <v>14000</v>
      </c>
      <c r="I241">
        <v>42000</v>
      </c>
      <c r="J241" t="s">
        <v>15</v>
      </c>
      <c r="K241">
        <v>5</v>
      </c>
    </row>
    <row r="242" spans="1:11" x14ac:dyDescent="0.3">
      <c r="A242">
        <v>1241</v>
      </c>
      <c r="B242" s="2">
        <v>46109.573146292583</v>
      </c>
      <c r="C242" t="s">
        <v>32</v>
      </c>
      <c r="D242" t="s">
        <v>12</v>
      </c>
      <c r="E242" t="s">
        <v>33</v>
      </c>
      <c r="F242" t="s">
        <v>14</v>
      </c>
      <c r="G242">
        <v>2</v>
      </c>
      <c r="H242">
        <v>2000</v>
      </c>
      <c r="I242">
        <v>4000</v>
      </c>
      <c r="J242" t="s">
        <v>31</v>
      </c>
      <c r="K242">
        <v>5</v>
      </c>
    </row>
    <row r="243" spans="1:11" x14ac:dyDescent="0.3">
      <c r="A243">
        <v>1242</v>
      </c>
      <c r="B243" s="2">
        <v>46109.933867735461</v>
      </c>
      <c r="C243" t="s">
        <v>48</v>
      </c>
      <c r="D243" t="s">
        <v>26</v>
      </c>
      <c r="E243" t="s">
        <v>43</v>
      </c>
      <c r="F243" t="s">
        <v>14</v>
      </c>
      <c r="G243">
        <v>2</v>
      </c>
      <c r="H243">
        <v>800</v>
      </c>
      <c r="I243">
        <v>1600</v>
      </c>
      <c r="J243" t="s">
        <v>15</v>
      </c>
      <c r="K243">
        <v>5</v>
      </c>
    </row>
    <row r="244" spans="1:11" x14ac:dyDescent="0.3">
      <c r="A244">
        <v>1243</v>
      </c>
      <c r="B244" s="2">
        <v>46110.294589178353</v>
      </c>
      <c r="C244" t="s">
        <v>35</v>
      </c>
      <c r="D244" t="s">
        <v>44</v>
      </c>
      <c r="E244" t="s">
        <v>29</v>
      </c>
      <c r="F244" t="s">
        <v>19</v>
      </c>
      <c r="G244">
        <v>2</v>
      </c>
      <c r="H244">
        <v>12000</v>
      </c>
      <c r="I244">
        <v>24000</v>
      </c>
      <c r="J244" t="s">
        <v>31</v>
      </c>
      <c r="K244">
        <v>4</v>
      </c>
    </row>
    <row r="245" spans="1:11" x14ac:dyDescent="0.3">
      <c r="A245">
        <v>1244</v>
      </c>
      <c r="B245" s="2">
        <v>46110.655310621238</v>
      </c>
      <c r="C245" t="s">
        <v>41</v>
      </c>
      <c r="D245" t="s">
        <v>12</v>
      </c>
      <c r="E245" t="s">
        <v>23</v>
      </c>
      <c r="F245" t="s">
        <v>24</v>
      </c>
      <c r="G245">
        <v>1</v>
      </c>
      <c r="H245">
        <v>14000</v>
      </c>
      <c r="I245">
        <v>14000</v>
      </c>
      <c r="J245" t="s">
        <v>31</v>
      </c>
      <c r="K245">
        <v>5</v>
      </c>
    </row>
    <row r="246" spans="1:11" x14ac:dyDescent="0.3">
      <c r="A246">
        <v>1245</v>
      </c>
      <c r="B246" s="2">
        <v>46111.016032064123</v>
      </c>
      <c r="C246" t="s">
        <v>47</v>
      </c>
      <c r="D246" t="s">
        <v>17</v>
      </c>
      <c r="E246" t="s">
        <v>39</v>
      </c>
      <c r="F246" t="s">
        <v>19</v>
      </c>
      <c r="G246">
        <v>5</v>
      </c>
      <c r="H246">
        <v>25000</v>
      </c>
      <c r="I246">
        <v>125000</v>
      </c>
      <c r="J246" t="s">
        <v>31</v>
      </c>
      <c r="K246">
        <v>5</v>
      </c>
    </row>
    <row r="247" spans="1:11" x14ac:dyDescent="0.3">
      <c r="A247">
        <v>1246</v>
      </c>
      <c r="B247" s="2">
        <v>46111.376753507007</v>
      </c>
      <c r="C247" t="s">
        <v>49</v>
      </c>
      <c r="D247" t="s">
        <v>17</v>
      </c>
      <c r="E247" t="s">
        <v>43</v>
      </c>
      <c r="F247" t="s">
        <v>14</v>
      </c>
      <c r="G247">
        <v>1</v>
      </c>
      <c r="H247">
        <v>300</v>
      </c>
      <c r="I247">
        <v>300</v>
      </c>
      <c r="J247" t="s">
        <v>15</v>
      </c>
      <c r="K247">
        <v>4</v>
      </c>
    </row>
    <row r="248" spans="1:11" x14ac:dyDescent="0.3">
      <c r="A248">
        <v>1247</v>
      </c>
      <c r="B248" s="2">
        <v>46111.737474949892</v>
      </c>
      <c r="C248" t="s">
        <v>48</v>
      </c>
      <c r="D248" t="s">
        <v>17</v>
      </c>
      <c r="E248" t="s">
        <v>43</v>
      </c>
      <c r="F248" t="s">
        <v>14</v>
      </c>
      <c r="G248">
        <v>1</v>
      </c>
      <c r="H248">
        <v>300</v>
      </c>
      <c r="I248">
        <v>300</v>
      </c>
      <c r="J248" t="s">
        <v>15</v>
      </c>
      <c r="K248">
        <v>5</v>
      </c>
    </row>
    <row r="249" spans="1:11" x14ac:dyDescent="0.3">
      <c r="A249">
        <v>1248</v>
      </c>
      <c r="B249" s="2">
        <v>46112.098196392777</v>
      </c>
      <c r="C249" t="s">
        <v>34</v>
      </c>
      <c r="D249" t="s">
        <v>38</v>
      </c>
      <c r="E249" t="s">
        <v>43</v>
      </c>
      <c r="F249" t="s">
        <v>14</v>
      </c>
      <c r="G249">
        <v>2</v>
      </c>
      <c r="H249">
        <v>800</v>
      </c>
      <c r="I249">
        <v>1600</v>
      </c>
      <c r="J249" t="s">
        <v>31</v>
      </c>
      <c r="K249">
        <v>4</v>
      </c>
    </row>
    <row r="250" spans="1:11" x14ac:dyDescent="0.3">
      <c r="A250">
        <v>1249</v>
      </c>
      <c r="B250" s="2">
        <v>46112.458917835669</v>
      </c>
      <c r="C250" t="s">
        <v>16</v>
      </c>
      <c r="D250" t="s">
        <v>26</v>
      </c>
      <c r="E250" t="s">
        <v>13</v>
      </c>
      <c r="F250" t="s">
        <v>14</v>
      </c>
      <c r="G250">
        <v>2</v>
      </c>
      <c r="H250">
        <v>2000</v>
      </c>
      <c r="I250">
        <v>4000</v>
      </c>
      <c r="J250" t="s">
        <v>31</v>
      </c>
      <c r="K250">
        <v>5</v>
      </c>
    </row>
    <row r="251" spans="1:11" x14ac:dyDescent="0.3">
      <c r="A251">
        <v>1250</v>
      </c>
      <c r="B251" s="2">
        <v>46112.819639278547</v>
      </c>
      <c r="C251" t="s">
        <v>32</v>
      </c>
      <c r="D251" t="s">
        <v>44</v>
      </c>
      <c r="E251" t="s">
        <v>33</v>
      </c>
      <c r="F251" t="s">
        <v>14</v>
      </c>
      <c r="G251">
        <v>1</v>
      </c>
      <c r="H251">
        <v>2500</v>
      </c>
      <c r="I251">
        <v>2500</v>
      </c>
      <c r="J251" t="s">
        <v>15</v>
      </c>
      <c r="K251">
        <v>5</v>
      </c>
    </row>
    <row r="252" spans="1:11" x14ac:dyDescent="0.3">
      <c r="A252">
        <v>1251</v>
      </c>
      <c r="B252" s="2">
        <v>46113.180360721439</v>
      </c>
      <c r="C252" t="s">
        <v>50</v>
      </c>
      <c r="D252" t="s">
        <v>17</v>
      </c>
      <c r="E252" t="s">
        <v>43</v>
      </c>
      <c r="F252" t="s">
        <v>14</v>
      </c>
      <c r="G252">
        <v>2</v>
      </c>
      <c r="H252">
        <v>300</v>
      </c>
      <c r="I252">
        <v>600</v>
      </c>
      <c r="J252" t="s">
        <v>15</v>
      </c>
      <c r="K252">
        <v>5</v>
      </c>
    </row>
    <row r="253" spans="1:11" x14ac:dyDescent="0.3">
      <c r="A253">
        <v>1252</v>
      </c>
      <c r="B253" s="2">
        <v>46113.541082164324</v>
      </c>
      <c r="C253" t="s">
        <v>47</v>
      </c>
      <c r="D253" t="s">
        <v>26</v>
      </c>
      <c r="E253" t="s">
        <v>39</v>
      </c>
      <c r="F253" t="s">
        <v>19</v>
      </c>
      <c r="G253">
        <v>4</v>
      </c>
      <c r="H253">
        <v>25000</v>
      </c>
      <c r="I253">
        <v>100000</v>
      </c>
      <c r="J253" t="s">
        <v>20</v>
      </c>
      <c r="K253">
        <v>5</v>
      </c>
    </row>
    <row r="254" spans="1:11" x14ac:dyDescent="0.3">
      <c r="A254">
        <v>1253</v>
      </c>
      <c r="B254" s="2">
        <v>46113.901803607208</v>
      </c>
      <c r="C254" t="s">
        <v>51</v>
      </c>
      <c r="D254" t="s">
        <v>26</v>
      </c>
      <c r="E254" t="s">
        <v>29</v>
      </c>
      <c r="F254" t="s">
        <v>19</v>
      </c>
      <c r="G254">
        <v>3</v>
      </c>
      <c r="H254">
        <v>12000</v>
      </c>
      <c r="I254">
        <v>36000</v>
      </c>
      <c r="J254" t="s">
        <v>15</v>
      </c>
      <c r="K254">
        <v>5</v>
      </c>
    </row>
    <row r="255" spans="1:11" x14ac:dyDescent="0.3">
      <c r="A255">
        <v>1254</v>
      </c>
      <c r="B255" s="2">
        <v>46114.262525050093</v>
      </c>
      <c r="C255" t="s">
        <v>16</v>
      </c>
      <c r="D255" t="s">
        <v>44</v>
      </c>
      <c r="E255" t="s">
        <v>27</v>
      </c>
      <c r="F255" t="s">
        <v>19</v>
      </c>
      <c r="G255">
        <v>3</v>
      </c>
      <c r="H255">
        <v>55000</v>
      </c>
      <c r="I255">
        <v>165000</v>
      </c>
      <c r="J255" t="s">
        <v>15</v>
      </c>
      <c r="K255">
        <v>4</v>
      </c>
    </row>
    <row r="256" spans="1:11" x14ac:dyDescent="0.3">
      <c r="A256">
        <v>1255</v>
      </c>
      <c r="B256" s="2">
        <v>46114.623246492978</v>
      </c>
      <c r="C256" t="s">
        <v>28</v>
      </c>
      <c r="D256" t="s">
        <v>22</v>
      </c>
      <c r="E256" t="s">
        <v>43</v>
      </c>
      <c r="F256" t="s">
        <v>14</v>
      </c>
      <c r="G256">
        <v>1</v>
      </c>
      <c r="H256">
        <v>300</v>
      </c>
      <c r="I256">
        <v>300</v>
      </c>
      <c r="J256" t="s">
        <v>15</v>
      </c>
      <c r="K256">
        <v>4</v>
      </c>
    </row>
    <row r="257" spans="1:11" x14ac:dyDescent="0.3">
      <c r="A257">
        <v>1256</v>
      </c>
      <c r="B257" s="2">
        <v>46114.98396793587</v>
      </c>
      <c r="C257" t="s">
        <v>41</v>
      </c>
      <c r="D257" t="s">
        <v>26</v>
      </c>
      <c r="E257" t="s">
        <v>33</v>
      </c>
      <c r="F257" t="s">
        <v>14</v>
      </c>
      <c r="G257">
        <v>2</v>
      </c>
      <c r="H257">
        <v>2500</v>
      </c>
      <c r="I257">
        <v>5000</v>
      </c>
      <c r="J257" t="s">
        <v>31</v>
      </c>
      <c r="K257">
        <v>5</v>
      </c>
    </row>
    <row r="258" spans="1:11" x14ac:dyDescent="0.3">
      <c r="A258">
        <v>1257</v>
      </c>
      <c r="B258" s="2">
        <v>46115.344689378748</v>
      </c>
      <c r="C258" t="s">
        <v>42</v>
      </c>
      <c r="D258" t="s">
        <v>26</v>
      </c>
      <c r="E258" t="s">
        <v>18</v>
      </c>
      <c r="F258" t="s">
        <v>19</v>
      </c>
      <c r="G258">
        <v>1</v>
      </c>
      <c r="H258">
        <v>22500</v>
      </c>
      <c r="I258">
        <v>22500</v>
      </c>
      <c r="J258" t="s">
        <v>45</v>
      </c>
      <c r="K258">
        <v>4</v>
      </c>
    </row>
    <row r="259" spans="1:11" x14ac:dyDescent="0.3">
      <c r="A259">
        <v>1258</v>
      </c>
      <c r="B259" s="2">
        <v>46115.705410821633</v>
      </c>
      <c r="C259" t="s">
        <v>50</v>
      </c>
      <c r="D259" t="s">
        <v>17</v>
      </c>
      <c r="E259" t="s">
        <v>18</v>
      </c>
      <c r="F259" t="s">
        <v>19</v>
      </c>
      <c r="G259">
        <v>3</v>
      </c>
      <c r="H259">
        <v>22000</v>
      </c>
      <c r="I259">
        <v>66000</v>
      </c>
      <c r="J259" t="s">
        <v>45</v>
      </c>
      <c r="K259">
        <v>4</v>
      </c>
    </row>
    <row r="260" spans="1:11" x14ac:dyDescent="0.3">
      <c r="A260">
        <v>1259</v>
      </c>
      <c r="B260" s="2">
        <v>46116.066132264517</v>
      </c>
      <c r="C260" t="s">
        <v>35</v>
      </c>
      <c r="D260" t="s">
        <v>17</v>
      </c>
      <c r="E260" t="s">
        <v>27</v>
      </c>
      <c r="F260" t="s">
        <v>19</v>
      </c>
      <c r="G260">
        <v>1</v>
      </c>
      <c r="H260">
        <v>55000</v>
      </c>
      <c r="I260">
        <v>55000</v>
      </c>
      <c r="J260" t="s">
        <v>31</v>
      </c>
      <c r="K260">
        <v>5</v>
      </c>
    </row>
    <row r="261" spans="1:11" x14ac:dyDescent="0.3">
      <c r="A261">
        <v>1260</v>
      </c>
      <c r="B261" s="2">
        <v>46116.426853707409</v>
      </c>
      <c r="C261" t="s">
        <v>35</v>
      </c>
      <c r="D261" t="s">
        <v>22</v>
      </c>
      <c r="E261" t="s">
        <v>29</v>
      </c>
      <c r="F261" t="s">
        <v>19</v>
      </c>
      <c r="G261">
        <v>1</v>
      </c>
      <c r="H261">
        <v>12000</v>
      </c>
      <c r="I261">
        <v>12000</v>
      </c>
      <c r="J261" t="s">
        <v>31</v>
      </c>
      <c r="K261">
        <v>5</v>
      </c>
    </row>
    <row r="262" spans="1:11" x14ac:dyDescent="0.3">
      <c r="A262">
        <v>1261</v>
      </c>
      <c r="B262" s="2">
        <v>46116.787575150287</v>
      </c>
      <c r="C262" t="s">
        <v>36</v>
      </c>
      <c r="D262" t="s">
        <v>44</v>
      </c>
      <c r="E262" t="s">
        <v>43</v>
      </c>
      <c r="F262" t="s">
        <v>14</v>
      </c>
      <c r="G262">
        <v>2</v>
      </c>
      <c r="H262">
        <v>800</v>
      </c>
      <c r="I262">
        <v>1600</v>
      </c>
      <c r="J262" t="s">
        <v>15</v>
      </c>
      <c r="K262">
        <v>4</v>
      </c>
    </row>
    <row r="263" spans="1:11" x14ac:dyDescent="0.3">
      <c r="A263">
        <v>1262</v>
      </c>
      <c r="B263" s="2">
        <v>46117.148296593186</v>
      </c>
      <c r="C263" t="s">
        <v>21</v>
      </c>
      <c r="D263" t="s">
        <v>17</v>
      </c>
      <c r="E263" t="s">
        <v>33</v>
      </c>
      <c r="F263" t="s">
        <v>14</v>
      </c>
      <c r="G263">
        <v>1</v>
      </c>
      <c r="H263">
        <v>2000</v>
      </c>
      <c r="I263">
        <v>2000</v>
      </c>
      <c r="J263" t="s">
        <v>15</v>
      </c>
      <c r="K263">
        <v>4</v>
      </c>
    </row>
    <row r="264" spans="1:11" x14ac:dyDescent="0.3">
      <c r="A264">
        <v>1263</v>
      </c>
      <c r="B264" s="2">
        <v>46117.509018036057</v>
      </c>
      <c r="C264" t="s">
        <v>46</v>
      </c>
      <c r="D264" t="s">
        <v>26</v>
      </c>
      <c r="E264" t="s">
        <v>33</v>
      </c>
      <c r="F264" t="s">
        <v>14</v>
      </c>
      <c r="G264">
        <v>1</v>
      </c>
      <c r="H264">
        <v>2500</v>
      </c>
      <c r="I264">
        <v>2500</v>
      </c>
      <c r="J264" t="s">
        <v>31</v>
      </c>
      <c r="K264">
        <v>4</v>
      </c>
    </row>
    <row r="265" spans="1:11" x14ac:dyDescent="0.3">
      <c r="A265">
        <v>1264</v>
      </c>
      <c r="B265" s="2">
        <v>46117.869739478949</v>
      </c>
      <c r="C265" t="s">
        <v>16</v>
      </c>
      <c r="D265" t="s">
        <v>26</v>
      </c>
      <c r="E265" t="s">
        <v>13</v>
      </c>
      <c r="F265" t="s">
        <v>14</v>
      </c>
      <c r="G265">
        <v>2</v>
      </c>
      <c r="H265">
        <v>1500</v>
      </c>
      <c r="I265">
        <v>3000</v>
      </c>
      <c r="J265" t="s">
        <v>20</v>
      </c>
      <c r="K265">
        <v>3</v>
      </c>
    </row>
    <row r="266" spans="1:11" x14ac:dyDescent="0.3">
      <c r="A266">
        <v>1265</v>
      </c>
      <c r="B266" s="2">
        <v>46118.230460921841</v>
      </c>
      <c r="C266" t="s">
        <v>41</v>
      </c>
      <c r="D266" t="s">
        <v>44</v>
      </c>
      <c r="E266" t="s">
        <v>39</v>
      </c>
      <c r="F266" t="s">
        <v>19</v>
      </c>
      <c r="G266">
        <v>5</v>
      </c>
      <c r="H266">
        <v>25000</v>
      </c>
      <c r="I266">
        <v>125000</v>
      </c>
      <c r="J266" t="s">
        <v>15</v>
      </c>
      <c r="K266">
        <v>4</v>
      </c>
    </row>
    <row r="267" spans="1:11" x14ac:dyDescent="0.3">
      <c r="A267">
        <v>1266</v>
      </c>
      <c r="B267" s="2">
        <v>46118.591182364733</v>
      </c>
      <c r="C267" t="s">
        <v>32</v>
      </c>
      <c r="D267" t="s">
        <v>17</v>
      </c>
      <c r="E267" t="s">
        <v>27</v>
      </c>
      <c r="F267" t="s">
        <v>19</v>
      </c>
      <c r="G267">
        <v>2</v>
      </c>
      <c r="H267">
        <v>54500</v>
      </c>
      <c r="I267">
        <v>109000</v>
      </c>
      <c r="J267" t="s">
        <v>20</v>
      </c>
      <c r="K267">
        <v>5</v>
      </c>
    </row>
    <row r="268" spans="1:11" x14ac:dyDescent="0.3">
      <c r="A268">
        <v>1267</v>
      </c>
      <c r="B268" s="2">
        <v>46118.951903807603</v>
      </c>
      <c r="C268" t="s">
        <v>51</v>
      </c>
      <c r="D268" t="s">
        <v>12</v>
      </c>
      <c r="E268" t="s">
        <v>29</v>
      </c>
      <c r="F268" t="s">
        <v>19</v>
      </c>
      <c r="G268">
        <v>1</v>
      </c>
      <c r="H268">
        <v>12000</v>
      </c>
      <c r="I268">
        <v>12000</v>
      </c>
      <c r="J268" t="s">
        <v>15</v>
      </c>
      <c r="K268">
        <v>5</v>
      </c>
    </row>
    <row r="269" spans="1:11" x14ac:dyDescent="0.3">
      <c r="A269">
        <v>1268</v>
      </c>
      <c r="B269" s="2">
        <v>46119.312625250503</v>
      </c>
      <c r="C269" t="s">
        <v>35</v>
      </c>
      <c r="D269" t="s">
        <v>44</v>
      </c>
      <c r="E269" t="s">
        <v>33</v>
      </c>
      <c r="F269" t="s">
        <v>14</v>
      </c>
      <c r="G269">
        <v>1</v>
      </c>
      <c r="H269">
        <v>2500</v>
      </c>
      <c r="I269">
        <v>2500</v>
      </c>
      <c r="J269" t="s">
        <v>15</v>
      </c>
      <c r="K269">
        <v>5</v>
      </c>
    </row>
    <row r="270" spans="1:11" x14ac:dyDescent="0.3">
      <c r="A270">
        <v>1269</v>
      </c>
      <c r="B270" s="2">
        <v>46119.67334669338</v>
      </c>
      <c r="C270" t="s">
        <v>51</v>
      </c>
      <c r="D270" t="s">
        <v>44</v>
      </c>
      <c r="E270" t="s">
        <v>43</v>
      </c>
      <c r="F270" t="s">
        <v>14</v>
      </c>
      <c r="G270">
        <v>1</v>
      </c>
      <c r="H270">
        <v>800</v>
      </c>
      <c r="I270">
        <v>800</v>
      </c>
      <c r="J270" t="s">
        <v>45</v>
      </c>
      <c r="K270">
        <v>3</v>
      </c>
    </row>
    <row r="271" spans="1:11" x14ac:dyDescent="0.3">
      <c r="A271">
        <v>1270</v>
      </c>
      <c r="B271" s="2">
        <v>46120.034068136258</v>
      </c>
      <c r="C271" t="s">
        <v>34</v>
      </c>
      <c r="D271" t="s">
        <v>44</v>
      </c>
      <c r="E271" t="s">
        <v>29</v>
      </c>
      <c r="F271" t="s">
        <v>19</v>
      </c>
      <c r="G271">
        <v>1</v>
      </c>
      <c r="H271">
        <v>11500</v>
      </c>
      <c r="I271">
        <v>11500</v>
      </c>
      <c r="J271" t="s">
        <v>20</v>
      </c>
      <c r="K271">
        <v>5</v>
      </c>
    </row>
    <row r="272" spans="1:11" x14ac:dyDescent="0.3">
      <c r="A272">
        <v>1271</v>
      </c>
      <c r="B272" s="2">
        <v>46120.394789579157</v>
      </c>
      <c r="C272" t="s">
        <v>46</v>
      </c>
      <c r="D272" t="s">
        <v>44</v>
      </c>
      <c r="E272" t="s">
        <v>23</v>
      </c>
      <c r="F272" t="s">
        <v>24</v>
      </c>
      <c r="G272">
        <v>2</v>
      </c>
      <c r="H272">
        <v>14000</v>
      </c>
      <c r="I272">
        <v>28000</v>
      </c>
      <c r="J272" t="s">
        <v>45</v>
      </c>
      <c r="K272">
        <v>3</v>
      </c>
    </row>
    <row r="273" spans="1:11" x14ac:dyDescent="0.3">
      <c r="A273">
        <v>1272</v>
      </c>
      <c r="B273" s="2">
        <v>46120.755511022027</v>
      </c>
      <c r="C273" t="s">
        <v>34</v>
      </c>
      <c r="D273" t="s">
        <v>38</v>
      </c>
      <c r="E273" t="s">
        <v>33</v>
      </c>
      <c r="F273" t="s">
        <v>14</v>
      </c>
      <c r="G273">
        <v>1</v>
      </c>
      <c r="H273">
        <v>2500</v>
      </c>
      <c r="I273">
        <v>2500</v>
      </c>
      <c r="J273" t="s">
        <v>15</v>
      </c>
      <c r="K273">
        <v>4</v>
      </c>
    </row>
    <row r="274" spans="1:11" x14ac:dyDescent="0.3">
      <c r="A274">
        <v>1273</v>
      </c>
      <c r="B274" s="2">
        <v>46121.116232464919</v>
      </c>
      <c r="C274" t="s">
        <v>28</v>
      </c>
      <c r="D274" t="s">
        <v>22</v>
      </c>
      <c r="E274" t="s">
        <v>33</v>
      </c>
      <c r="F274" t="s">
        <v>14</v>
      </c>
      <c r="G274">
        <v>3</v>
      </c>
      <c r="H274">
        <v>2500</v>
      </c>
      <c r="I274">
        <v>7500</v>
      </c>
      <c r="J274" t="s">
        <v>31</v>
      </c>
      <c r="K274">
        <v>5</v>
      </c>
    </row>
    <row r="275" spans="1:11" x14ac:dyDescent="0.3">
      <c r="A275">
        <v>1274</v>
      </c>
      <c r="B275" s="2">
        <v>46121.476953907812</v>
      </c>
      <c r="C275" t="s">
        <v>34</v>
      </c>
      <c r="D275" t="s">
        <v>12</v>
      </c>
      <c r="E275" t="s">
        <v>18</v>
      </c>
      <c r="F275" t="s">
        <v>19</v>
      </c>
      <c r="G275">
        <v>1</v>
      </c>
      <c r="H275">
        <v>22000</v>
      </c>
      <c r="I275">
        <v>22000</v>
      </c>
      <c r="J275" t="s">
        <v>15</v>
      </c>
      <c r="K275">
        <v>5</v>
      </c>
    </row>
    <row r="276" spans="1:11" x14ac:dyDescent="0.3">
      <c r="A276">
        <v>1275</v>
      </c>
      <c r="B276" s="2">
        <v>46121.837675350696</v>
      </c>
      <c r="C276" t="s">
        <v>37</v>
      </c>
      <c r="D276" t="s">
        <v>22</v>
      </c>
      <c r="E276" t="s">
        <v>18</v>
      </c>
      <c r="F276" t="s">
        <v>19</v>
      </c>
      <c r="G276">
        <v>2</v>
      </c>
      <c r="H276">
        <v>22000</v>
      </c>
      <c r="I276">
        <v>44000</v>
      </c>
      <c r="J276" t="s">
        <v>31</v>
      </c>
      <c r="K276">
        <v>3</v>
      </c>
    </row>
    <row r="277" spans="1:11" x14ac:dyDescent="0.3">
      <c r="A277">
        <v>1276</v>
      </c>
      <c r="B277" s="2">
        <v>46122.198396793567</v>
      </c>
      <c r="C277" t="s">
        <v>49</v>
      </c>
      <c r="D277" t="s">
        <v>44</v>
      </c>
      <c r="E277" t="s">
        <v>33</v>
      </c>
      <c r="F277" t="s">
        <v>14</v>
      </c>
      <c r="G277">
        <v>1</v>
      </c>
      <c r="H277">
        <v>2500</v>
      </c>
      <c r="I277">
        <v>2500</v>
      </c>
      <c r="J277" t="s">
        <v>15</v>
      </c>
      <c r="K277">
        <v>3</v>
      </c>
    </row>
    <row r="278" spans="1:11" x14ac:dyDescent="0.3">
      <c r="A278">
        <v>1277</v>
      </c>
      <c r="B278" s="2">
        <v>46122.559118236473</v>
      </c>
      <c r="C278" t="s">
        <v>41</v>
      </c>
      <c r="D278" t="s">
        <v>22</v>
      </c>
      <c r="E278" t="s">
        <v>39</v>
      </c>
      <c r="F278" t="s">
        <v>19</v>
      </c>
      <c r="G278">
        <v>2</v>
      </c>
      <c r="H278">
        <v>25000</v>
      </c>
      <c r="I278">
        <v>50000</v>
      </c>
      <c r="J278" t="s">
        <v>20</v>
      </c>
      <c r="K278">
        <v>5</v>
      </c>
    </row>
    <row r="279" spans="1:11" x14ac:dyDescent="0.3">
      <c r="A279">
        <v>1278</v>
      </c>
      <c r="B279" s="2">
        <v>46122.919839679351</v>
      </c>
      <c r="C279" t="s">
        <v>25</v>
      </c>
      <c r="D279" t="s">
        <v>38</v>
      </c>
      <c r="E279" t="s">
        <v>13</v>
      </c>
      <c r="F279" t="s">
        <v>14</v>
      </c>
      <c r="G279">
        <v>1</v>
      </c>
      <c r="H279">
        <v>1500</v>
      </c>
      <c r="I279">
        <v>1500</v>
      </c>
      <c r="J279" t="s">
        <v>31</v>
      </c>
      <c r="K279">
        <v>4</v>
      </c>
    </row>
    <row r="280" spans="1:11" x14ac:dyDescent="0.3">
      <c r="A280">
        <v>1279</v>
      </c>
      <c r="B280" s="2">
        <v>46123.280561122243</v>
      </c>
      <c r="C280" t="s">
        <v>37</v>
      </c>
      <c r="D280" t="s">
        <v>12</v>
      </c>
      <c r="E280" t="s">
        <v>43</v>
      </c>
      <c r="F280" t="s">
        <v>14</v>
      </c>
      <c r="G280">
        <v>1</v>
      </c>
      <c r="H280">
        <v>800</v>
      </c>
      <c r="I280">
        <v>800</v>
      </c>
      <c r="J280" t="s">
        <v>15</v>
      </c>
      <c r="K280">
        <v>3</v>
      </c>
    </row>
    <row r="281" spans="1:11" x14ac:dyDescent="0.3">
      <c r="A281">
        <v>1280</v>
      </c>
      <c r="B281" s="2">
        <v>46123.641282565128</v>
      </c>
      <c r="C281" t="s">
        <v>28</v>
      </c>
      <c r="D281" t="s">
        <v>12</v>
      </c>
      <c r="E281" t="s">
        <v>23</v>
      </c>
      <c r="F281" t="s">
        <v>24</v>
      </c>
      <c r="G281">
        <v>1</v>
      </c>
      <c r="H281">
        <v>14000</v>
      </c>
      <c r="I281">
        <v>14000</v>
      </c>
      <c r="J281" t="s">
        <v>31</v>
      </c>
      <c r="K281">
        <v>2</v>
      </c>
    </row>
    <row r="282" spans="1:11" x14ac:dyDescent="0.3">
      <c r="A282">
        <v>1281</v>
      </c>
      <c r="B282" s="2">
        <v>46124.002004008013</v>
      </c>
      <c r="C282" t="s">
        <v>34</v>
      </c>
      <c r="D282" t="s">
        <v>12</v>
      </c>
      <c r="E282" t="s">
        <v>43</v>
      </c>
      <c r="F282" t="s">
        <v>14</v>
      </c>
      <c r="G282">
        <v>1</v>
      </c>
      <c r="H282">
        <v>300</v>
      </c>
      <c r="I282">
        <v>300</v>
      </c>
      <c r="J282" t="s">
        <v>45</v>
      </c>
      <c r="K282">
        <v>4</v>
      </c>
    </row>
    <row r="283" spans="1:11" x14ac:dyDescent="0.3">
      <c r="A283">
        <v>1282</v>
      </c>
      <c r="B283" s="2">
        <v>46124.36272545089</v>
      </c>
      <c r="C283" t="s">
        <v>50</v>
      </c>
      <c r="D283" t="s">
        <v>17</v>
      </c>
      <c r="E283" t="s">
        <v>23</v>
      </c>
      <c r="F283" t="s">
        <v>24</v>
      </c>
      <c r="G283">
        <v>2</v>
      </c>
      <c r="H283">
        <v>14000</v>
      </c>
      <c r="I283">
        <v>28000</v>
      </c>
      <c r="J283" t="s">
        <v>15</v>
      </c>
      <c r="K283">
        <v>3</v>
      </c>
    </row>
    <row r="284" spans="1:11" x14ac:dyDescent="0.3">
      <c r="A284">
        <v>1283</v>
      </c>
      <c r="B284" s="2">
        <v>46124.723446893782</v>
      </c>
      <c r="C284" t="s">
        <v>37</v>
      </c>
      <c r="D284" t="s">
        <v>38</v>
      </c>
      <c r="E284" t="s">
        <v>27</v>
      </c>
      <c r="F284" t="s">
        <v>19</v>
      </c>
      <c r="G284">
        <v>2</v>
      </c>
      <c r="H284">
        <v>54500</v>
      </c>
      <c r="I284">
        <v>109000</v>
      </c>
      <c r="J284" t="s">
        <v>31</v>
      </c>
      <c r="K284">
        <v>4</v>
      </c>
    </row>
    <row r="285" spans="1:11" x14ac:dyDescent="0.3">
      <c r="A285">
        <v>1284</v>
      </c>
      <c r="B285" s="2">
        <v>46125.084168336667</v>
      </c>
      <c r="C285" t="s">
        <v>21</v>
      </c>
      <c r="D285" t="s">
        <v>38</v>
      </c>
      <c r="E285" t="s">
        <v>43</v>
      </c>
      <c r="F285" t="s">
        <v>14</v>
      </c>
      <c r="G285">
        <v>1</v>
      </c>
      <c r="H285">
        <v>1300</v>
      </c>
      <c r="I285">
        <v>1300</v>
      </c>
      <c r="J285" t="s">
        <v>20</v>
      </c>
      <c r="K285">
        <v>5</v>
      </c>
    </row>
    <row r="286" spans="1:11" x14ac:dyDescent="0.3">
      <c r="A286">
        <v>1285</v>
      </c>
      <c r="B286" s="2">
        <v>46125.444889779552</v>
      </c>
      <c r="C286" t="s">
        <v>48</v>
      </c>
      <c r="D286" t="s">
        <v>17</v>
      </c>
      <c r="E286" t="s">
        <v>43</v>
      </c>
      <c r="F286" t="s">
        <v>14</v>
      </c>
      <c r="G286">
        <v>3</v>
      </c>
      <c r="H286">
        <v>800</v>
      </c>
      <c r="I286">
        <v>2400</v>
      </c>
      <c r="J286" t="s">
        <v>20</v>
      </c>
      <c r="K286">
        <v>4</v>
      </c>
    </row>
    <row r="287" spans="1:11" x14ac:dyDescent="0.3">
      <c r="A287">
        <v>1286</v>
      </c>
      <c r="B287" s="2">
        <v>46125.805611222437</v>
      </c>
      <c r="C287" t="s">
        <v>37</v>
      </c>
      <c r="D287" t="s">
        <v>26</v>
      </c>
      <c r="E287" t="s">
        <v>39</v>
      </c>
      <c r="F287" t="s">
        <v>19</v>
      </c>
      <c r="G287">
        <v>1</v>
      </c>
      <c r="H287">
        <v>25000</v>
      </c>
      <c r="I287">
        <v>25000</v>
      </c>
      <c r="J287" t="s">
        <v>45</v>
      </c>
      <c r="K287">
        <v>5</v>
      </c>
    </row>
    <row r="288" spans="1:11" x14ac:dyDescent="0.3">
      <c r="A288">
        <v>1287</v>
      </c>
      <c r="B288" s="2">
        <v>46126.166332665322</v>
      </c>
      <c r="C288" t="s">
        <v>36</v>
      </c>
      <c r="D288" t="s">
        <v>12</v>
      </c>
      <c r="E288" t="s">
        <v>43</v>
      </c>
      <c r="F288" t="s">
        <v>14</v>
      </c>
      <c r="G288">
        <v>2</v>
      </c>
      <c r="H288">
        <v>1300</v>
      </c>
      <c r="I288">
        <v>2600</v>
      </c>
      <c r="J288" t="s">
        <v>15</v>
      </c>
      <c r="K288">
        <v>5</v>
      </c>
    </row>
    <row r="289" spans="1:11" x14ac:dyDescent="0.3">
      <c r="A289">
        <v>1288</v>
      </c>
      <c r="B289" s="2">
        <v>46126.527054108214</v>
      </c>
      <c r="C289" t="s">
        <v>21</v>
      </c>
      <c r="D289" t="s">
        <v>44</v>
      </c>
      <c r="E289" t="s">
        <v>27</v>
      </c>
      <c r="F289" t="s">
        <v>19</v>
      </c>
      <c r="G289">
        <v>4</v>
      </c>
      <c r="H289">
        <v>55000</v>
      </c>
      <c r="I289">
        <v>220000</v>
      </c>
      <c r="J289" t="s">
        <v>15</v>
      </c>
      <c r="K289">
        <v>5</v>
      </c>
    </row>
    <row r="290" spans="1:11" x14ac:dyDescent="0.3">
      <c r="A290">
        <v>1289</v>
      </c>
      <c r="B290" s="2">
        <v>46126.887775551098</v>
      </c>
      <c r="C290" t="s">
        <v>11</v>
      </c>
      <c r="D290" t="s">
        <v>17</v>
      </c>
      <c r="E290" t="s">
        <v>39</v>
      </c>
      <c r="F290" t="s">
        <v>19</v>
      </c>
      <c r="G290">
        <v>2</v>
      </c>
      <c r="H290">
        <v>25000</v>
      </c>
      <c r="I290">
        <v>50000</v>
      </c>
      <c r="J290" t="s">
        <v>31</v>
      </c>
      <c r="K290">
        <v>5</v>
      </c>
    </row>
    <row r="291" spans="1:11" x14ac:dyDescent="0.3">
      <c r="A291">
        <v>1290</v>
      </c>
      <c r="B291" s="2">
        <v>46127.248496993983</v>
      </c>
      <c r="C291" t="s">
        <v>49</v>
      </c>
      <c r="D291" t="s">
        <v>17</v>
      </c>
      <c r="E291" t="s">
        <v>43</v>
      </c>
      <c r="F291" t="s">
        <v>14</v>
      </c>
      <c r="G291">
        <v>1</v>
      </c>
      <c r="H291">
        <v>300</v>
      </c>
      <c r="I291">
        <v>300</v>
      </c>
      <c r="J291" t="s">
        <v>31</v>
      </c>
      <c r="K291">
        <v>5</v>
      </c>
    </row>
    <row r="292" spans="1:11" x14ac:dyDescent="0.3">
      <c r="A292">
        <v>1291</v>
      </c>
      <c r="B292" s="2">
        <v>46127.609218436861</v>
      </c>
      <c r="C292" t="s">
        <v>46</v>
      </c>
      <c r="D292" t="s">
        <v>22</v>
      </c>
      <c r="E292" t="s">
        <v>27</v>
      </c>
      <c r="F292" t="s">
        <v>19</v>
      </c>
      <c r="G292">
        <v>1</v>
      </c>
      <c r="H292">
        <v>55000</v>
      </c>
      <c r="I292">
        <v>55000</v>
      </c>
      <c r="J292" t="s">
        <v>31</v>
      </c>
      <c r="K292">
        <v>5</v>
      </c>
    </row>
    <row r="293" spans="1:11" x14ac:dyDescent="0.3">
      <c r="A293">
        <v>1292</v>
      </c>
      <c r="B293" s="2">
        <v>46127.96993987976</v>
      </c>
      <c r="C293" t="s">
        <v>36</v>
      </c>
      <c r="D293" t="s">
        <v>22</v>
      </c>
      <c r="E293" t="s">
        <v>29</v>
      </c>
      <c r="F293" t="s">
        <v>19</v>
      </c>
      <c r="G293">
        <v>1</v>
      </c>
      <c r="H293">
        <v>12000</v>
      </c>
      <c r="I293">
        <v>12000</v>
      </c>
      <c r="J293" t="s">
        <v>31</v>
      </c>
      <c r="K293">
        <v>2</v>
      </c>
    </row>
    <row r="294" spans="1:11" x14ac:dyDescent="0.3">
      <c r="A294">
        <v>1293</v>
      </c>
      <c r="B294" s="2">
        <v>46128.330661322638</v>
      </c>
      <c r="C294" t="s">
        <v>35</v>
      </c>
      <c r="D294" t="s">
        <v>22</v>
      </c>
      <c r="E294" t="s">
        <v>39</v>
      </c>
      <c r="F294" t="s">
        <v>19</v>
      </c>
      <c r="G294">
        <v>1</v>
      </c>
      <c r="H294">
        <v>25000</v>
      </c>
      <c r="I294">
        <v>25000</v>
      </c>
      <c r="J294" t="s">
        <v>20</v>
      </c>
      <c r="K294">
        <v>4</v>
      </c>
    </row>
    <row r="295" spans="1:11" x14ac:dyDescent="0.3">
      <c r="A295">
        <v>1294</v>
      </c>
      <c r="B295" s="2">
        <v>46128.691382765523</v>
      </c>
      <c r="C295" t="s">
        <v>47</v>
      </c>
      <c r="D295" t="s">
        <v>44</v>
      </c>
      <c r="E295" t="s">
        <v>13</v>
      </c>
      <c r="F295" t="s">
        <v>14</v>
      </c>
      <c r="G295">
        <v>1</v>
      </c>
      <c r="H295">
        <v>1500</v>
      </c>
      <c r="I295">
        <v>1500</v>
      </c>
      <c r="J295" t="s">
        <v>15</v>
      </c>
      <c r="K295">
        <v>4</v>
      </c>
    </row>
    <row r="296" spans="1:11" x14ac:dyDescent="0.3">
      <c r="A296">
        <v>1295</v>
      </c>
      <c r="B296" s="2">
        <v>46129.052104208407</v>
      </c>
      <c r="C296" t="s">
        <v>40</v>
      </c>
      <c r="D296" t="s">
        <v>26</v>
      </c>
      <c r="E296" t="s">
        <v>29</v>
      </c>
      <c r="F296" t="s">
        <v>19</v>
      </c>
      <c r="G296">
        <v>3</v>
      </c>
      <c r="H296">
        <v>12000</v>
      </c>
      <c r="I296">
        <v>36000</v>
      </c>
      <c r="J296" t="s">
        <v>15</v>
      </c>
      <c r="K296">
        <v>5</v>
      </c>
    </row>
    <row r="297" spans="1:11" x14ac:dyDescent="0.3">
      <c r="A297">
        <v>1296</v>
      </c>
      <c r="B297" s="2">
        <v>46129.412825651299</v>
      </c>
      <c r="C297" t="s">
        <v>36</v>
      </c>
      <c r="D297" t="s">
        <v>17</v>
      </c>
      <c r="E297" t="s">
        <v>27</v>
      </c>
      <c r="F297" t="s">
        <v>19</v>
      </c>
      <c r="G297">
        <v>2</v>
      </c>
      <c r="H297">
        <v>55000</v>
      </c>
      <c r="I297">
        <v>110000</v>
      </c>
      <c r="J297" t="s">
        <v>15</v>
      </c>
      <c r="K297">
        <v>5</v>
      </c>
    </row>
    <row r="298" spans="1:11" x14ac:dyDescent="0.3">
      <c r="A298">
        <v>1297</v>
      </c>
      <c r="B298" s="2">
        <v>46129.773547094177</v>
      </c>
      <c r="C298" t="s">
        <v>30</v>
      </c>
      <c r="D298" t="s">
        <v>17</v>
      </c>
      <c r="E298" t="s">
        <v>33</v>
      </c>
      <c r="F298" t="s">
        <v>14</v>
      </c>
      <c r="G298">
        <v>2</v>
      </c>
      <c r="H298">
        <v>2500</v>
      </c>
      <c r="I298">
        <v>5000</v>
      </c>
      <c r="J298" t="s">
        <v>15</v>
      </c>
      <c r="K298">
        <v>4</v>
      </c>
    </row>
    <row r="299" spans="1:11" x14ac:dyDescent="0.3">
      <c r="A299">
        <v>1298</v>
      </c>
      <c r="B299" s="2">
        <v>46130.134268537069</v>
      </c>
      <c r="C299" t="s">
        <v>47</v>
      </c>
      <c r="D299" t="s">
        <v>22</v>
      </c>
      <c r="E299" t="s">
        <v>29</v>
      </c>
      <c r="F299" t="s">
        <v>19</v>
      </c>
      <c r="G299">
        <v>2</v>
      </c>
      <c r="H299">
        <v>11500</v>
      </c>
      <c r="I299">
        <v>23000</v>
      </c>
      <c r="J299" t="s">
        <v>31</v>
      </c>
      <c r="K299">
        <v>3</v>
      </c>
    </row>
    <row r="300" spans="1:11" x14ac:dyDescent="0.3">
      <c r="A300">
        <v>1299</v>
      </c>
      <c r="B300" s="2">
        <v>46130.494989979947</v>
      </c>
      <c r="C300" t="s">
        <v>32</v>
      </c>
      <c r="D300" t="s">
        <v>38</v>
      </c>
      <c r="E300" t="s">
        <v>39</v>
      </c>
      <c r="F300" t="s">
        <v>19</v>
      </c>
      <c r="G300">
        <v>2</v>
      </c>
      <c r="H300">
        <v>25500</v>
      </c>
      <c r="I300">
        <v>51000</v>
      </c>
      <c r="J300" t="s">
        <v>31</v>
      </c>
      <c r="K300">
        <v>3</v>
      </c>
    </row>
    <row r="301" spans="1:11" x14ac:dyDescent="0.3">
      <c r="A301">
        <v>1300</v>
      </c>
      <c r="B301" s="2">
        <v>46130.855711422839</v>
      </c>
      <c r="C301" t="s">
        <v>30</v>
      </c>
      <c r="D301" t="s">
        <v>22</v>
      </c>
      <c r="E301" t="s">
        <v>13</v>
      </c>
      <c r="F301" t="s">
        <v>14</v>
      </c>
      <c r="G301">
        <v>1</v>
      </c>
      <c r="H301">
        <v>1000</v>
      </c>
      <c r="I301">
        <v>1000</v>
      </c>
      <c r="J301" t="s">
        <v>31</v>
      </c>
      <c r="K301">
        <v>5</v>
      </c>
    </row>
    <row r="302" spans="1:11" x14ac:dyDescent="0.3">
      <c r="A302">
        <v>1301</v>
      </c>
      <c r="B302" s="2">
        <v>46131.216432865731</v>
      </c>
      <c r="C302" t="s">
        <v>48</v>
      </c>
      <c r="D302" t="s">
        <v>26</v>
      </c>
      <c r="E302" t="s">
        <v>23</v>
      </c>
      <c r="F302" t="s">
        <v>24</v>
      </c>
      <c r="G302">
        <v>4</v>
      </c>
      <c r="H302">
        <v>14000</v>
      </c>
      <c r="I302">
        <v>56000</v>
      </c>
      <c r="J302" t="s">
        <v>31</v>
      </c>
      <c r="K302">
        <v>5</v>
      </c>
    </row>
    <row r="303" spans="1:11" x14ac:dyDescent="0.3">
      <c r="A303">
        <v>1302</v>
      </c>
      <c r="B303" s="2">
        <v>46131.577154308608</v>
      </c>
      <c r="C303" t="s">
        <v>46</v>
      </c>
      <c r="D303" t="s">
        <v>22</v>
      </c>
      <c r="E303" t="s">
        <v>27</v>
      </c>
      <c r="F303" t="s">
        <v>19</v>
      </c>
      <c r="G303">
        <v>1</v>
      </c>
      <c r="H303">
        <v>55000</v>
      </c>
      <c r="I303">
        <v>55000</v>
      </c>
      <c r="J303" t="s">
        <v>20</v>
      </c>
      <c r="K303">
        <v>4</v>
      </c>
    </row>
    <row r="304" spans="1:11" x14ac:dyDescent="0.3">
      <c r="A304">
        <v>1303</v>
      </c>
      <c r="B304" s="2">
        <v>46131.937875751493</v>
      </c>
      <c r="C304" t="s">
        <v>46</v>
      </c>
      <c r="D304" t="s">
        <v>22</v>
      </c>
      <c r="E304" t="s">
        <v>29</v>
      </c>
      <c r="F304" t="s">
        <v>19</v>
      </c>
      <c r="G304">
        <v>5</v>
      </c>
      <c r="H304">
        <v>12000</v>
      </c>
      <c r="I304">
        <v>60000</v>
      </c>
      <c r="J304" t="s">
        <v>31</v>
      </c>
      <c r="K304">
        <v>5</v>
      </c>
    </row>
    <row r="305" spans="1:11" x14ac:dyDescent="0.3">
      <c r="A305">
        <v>1304</v>
      </c>
      <c r="B305" s="2">
        <v>46132.298597194393</v>
      </c>
      <c r="C305" t="s">
        <v>47</v>
      </c>
      <c r="D305" t="s">
        <v>12</v>
      </c>
      <c r="E305" t="s">
        <v>39</v>
      </c>
      <c r="F305" t="s">
        <v>19</v>
      </c>
      <c r="G305">
        <v>4</v>
      </c>
      <c r="H305">
        <v>25000</v>
      </c>
      <c r="I305">
        <v>100000</v>
      </c>
      <c r="J305" t="s">
        <v>45</v>
      </c>
      <c r="K305">
        <v>4</v>
      </c>
    </row>
    <row r="306" spans="1:11" x14ac:dyDescent="0.3">
      <c r="A306">
        <v>1305</v>
      </c>
      <c r="B306" s="2">
        <v>46132.65931863727</v>
      </c>
      <c r="C306" t="s">
        <v>42</v>
      </c>
      <c r="D306" t="s">
        <v>44</v>
      </c>
      <c r="E306" t="s">
        <v>13</v>
      </c>
      <c r="F306" t="s">
        <v>14</v>
      </c>
      <c r="G306">
        <v>1</v>
      </c>
      <c r="H306">
        <v>1500</v>
      </c>
      <c r="I306">
        <v>1500</v>
      </c>
      <c r="J306" t="s">
        <v>31</v>
      </c>
      <c r="K306">
        <v>5</v>
      </c>
    </row>
    <row r="307" spans="1:11" x14ac:dyDescent="0.3">
      <c r="A307">
        <v>1306</v>
      </c>
      <c r="B307" s="2">
        <v>46133.020040080148</v>
      </c>
      <c r="C307" t="s">
        <v>32</v>
      </c>
      <c r="D307" t="s">
        <v>26</v>
      </c>
      <c r="E307" t="s">
        <v>27</v>
      </c>
      <c r="F307" t="s">
        <v>19</v>
      </c>
      <c r="G307">
        <v>4</v>
      </c>
      <c r="H307">
        <v>55500</v>
      </c>
      <c r="I307">
        <v>222000</v>
      </c>
      <c r="J307" t="s">
        <v>15</v>
      </c>
      <c r="K307">
        <v>4</v>
      </c>
    </row>
    <row r="308" spans="1:11" x14ac:dyDescent="0.3">
      <c r="A308">
        <v>1307</v>
      </c>
      <c r="B308" s="2">
        <v>46133.380761523047</v>
      </c>
      <c r="C308" t="s">
        <v>32</v>
      </c>
      <c r="D308" t="s">
        <v>44</v>
      </c>
      <c r="E308" t="s">
        <v>27</v>
      </c>
      <c r="F308" t="s">
        <v>19</v>
      </c>
      <c r="G308">
        <v>1</v>
      </c>
      <c r="H308">
        <v>55500</v>
      </c>
      <c r="I308">
        <v>55500</v>
      </c>
      <c r="J308" t="s">
        <v>15</v>
      </c>
      <c r="K308">
        <v>3</v>
      </c>
    </row>
    <row r="309" spans="1:11" x14ac:dyDescent="0.3">
      <c r="A309">
        <v>1308</v>
      </c>
      <c r="B309" s="2">
        <v>46133.741482965917</v>
      </c>
      <c r="C309" t="s">
        <v>35</v>
      </c>
      <c r="D309" t="s">
        <v>12</v>
      </c>
      <c r="E309" t="s">
        <v>43</v>
      </c>
      <c r="F309" t="s">
        <v>14</v>
      </c>
      <c r="G309">
        <v>1</v>
      </c>
      <c r="H309">
        <v>800</v>
      </c>
      <c r="I309">
        <v>800</v>
      </c>
      <c r="J309" t="s">
        <v>15</v>
      </c>
      <c r="K309">
        <v>5</v>
      </c>
    </row>
    <row r="310" spans="1:11" x14ac:dyDescent="0.3">
      <c r="A310">
        <v>1309</v>
      </c>
      <c r="B310" s="2">
        <v>46134.102204408809</v>
      </c>
      <c r="C310" t="s">
        <v>36</v>
      </c>
      <c r="D310" t="s">
        <v>17</v>
      </c>
      <c r="E310" t="s">
        <v>33</v>
      </c>
      <c r="F310" t="s">
        <v>14</v>
      </c>
      <c r="G310">
        <v>3</v>
      </c>
      <c r="H310">
        <v>2000</v>
      </c>
      <c r="I310">
        <v>6000</v>
      </c>
      <c r="J310" t="s">
        <v>15</v>
      </c>
      <c r="K310">
        <v>3</v>
      </c>
    </row>
    <row r="311" spans="1:11" x14ac:dyDescent="0.3">
      <c r="A311">
        <v>1310</v>
      </c>
      <c r="B311" s="2">
        <v>46134.462925851702</v>
      </c>
      <c r="C311" t="s">
        <v>49</v>
      </c>
      <c r="D311" t="s">
        <v>38</v>
      </c>
      <c r="E311" t="s">
        <v>23</v>
      </c>
      <c r="F311" t="s">
        <v>24</v>
      </c>
      <c r="G311">
        <v>1</v>
      </c>
      <c r="H311">
        <v>14000</v>
      </c>
      <c r="I311">
        <v>14000</v>
      </c>
      <c r="J311" t="s">
        <v>15</v>
      </c>
      <c r="K311">
        <v>5</v>
      </c>
    </row>
    <row r="312" spans="1:11" x14ac:dyDescent="0.3">
      <c r="A312">
        <v>1311</v>
      </c>
      <c r="B312" s="2">
        <v>46134.823647294586</v>
      </c>
      <c r="C312" t="s">
        <v>25</v>
      </c>
      <c r="D312" t="s">
        <v>44</v>
      </c>
      <c r="E312" t="s">
        <v>27</v>
      </c>
      <c r="F312" t="s">
        <v>19</v>
      </c>
      <c r="G312">
        <v>2</v>
      </c>
      <c r="H312">
        <v>55500</v>
      </c>
      <c r="I312">
        <v>111000</v>
      </c>
      <c r="J312" t="s">
        <v>15</v>
      </c>
      <c r="K312">
        <v>4</v>
      </c>
    </row>
    <row r="313" spans="1:11" x14ac:dyDescent="0.3">
      <c r="A313">
        <v>1312</v>
      </c>
      <c r="B313" s="2">
        <v>46135.184368737457</v>
      </c>
      <c r="C313" t="s">
        <v>34</v>
      </c>
      <c r="D313" t="s">
        <v>44</v>
      </c>
      <c r="E313" t="s">
        <v>43</v>
      </c>
      <c r="F313" t="s">
        <v>14</v>
      </c>
      <c r="G313">
        <v>2</v>
      </c>
      <c r="H313">
        <v>1300</v>
      </c>
      <c r="I313">
        <v>2600</v>
      </c>
      <c r="J313" t="s">
        <v>31</v>
      </c>
      <c r="K313">
        <v>4</v>
      </c>
    </row>
    <row r="314" spans="1:11" x14ac:dyDescent="0.3">
      <c r="A314">
        <v>1313</v>
      </c>
      <c r="B314" s="2">
        <v>46135.545090180363</v>
      </c>
      <c r="C314" t="s">
        <v>21</v>
      </c>
      <c r="D314" t="s">
        <v>22</v>
      </c>
      <c r="E314" t="s">
        <v>29</v>
      </c>
      <c r="F314" t="s">
        <v>19</v>
      </c>
      <c r="G314">
        <v>1</v>
      </c>
      <c r="H314">
        <v>12500</v>
      </c>
      <c r="I314">
        <v>12500</v>
      </c>
      <c r="J314" t="s">
        <v>15</v>
      </c>
      <c r="K314">
        <v>2</v>
      </c>
    </row>
    <row r="315" spans="1:11" x14ac:dyDescent="0.3">
      <c r="A315">
        <v>1314</v>
      </c>
      <c r="B315" s="2">
        <v>46135.905811623241</v>
      </c>
      <c r="C315" t="s">
        <v>49</v>
      </c>
      <c r="D315" t="s">
        <v>22</v>
      </c>
      <c r="E315" t="s">
        <v>39</v>
      </c>
      <c r="F315" t="s">
        <v>19</v>
      </c>
      <c r="G315">
        <v>1</v>
      </c>
      <c r="H315">
        <v>24500</v>
      </c>
      <c r="I315">
        <v>24500</v>
      </c>
      <c r="J315" t="s">
        <v>20</v>
      </c>
      <c r="K315">
        <v>4</v>
      </c>
    </row>
    <row r="316" spans="1:11" x14ac:dyDescent="0.3">
      <c r="A316">
        <v>1315</v>
      </c>
      <c r="B316" s="2">
        <v>46136.266533066133</v>
      </c>
      <c r="C316" t="s">
        <v>48</v>
      </c>
      <c r="D316" t="s">
        <v>22</v>
      </c>
      <c r="E316" t="s">
        <v>13</v>
      </c>
      <c r="F316" t="s">
        <v>14</v>
      </c>
      <c r="G316">
        <v>2</v>
      </c>
      <c r="H316">
        <v>1500</v>
      </c>
      <c r="I316">
        <v>3000</v>
      </c>
      <c r="J316" t="s">
        <v>31</v>
      </c>
      <c r="K316">
        <v>4</v>
      </c>
    </row>
    <row r="317" spans="1:11" x14ac:dyDescent="0.3">
      <c r="A317">
        <v>1316</v>
      </c>
      <c r="B317" s="2">
        <v>46136.627254509018</v>
      </c>
      <c r="C317" t="s">
        <v>50</v>
      </c>
      <c r="D317" t="s">
        <v>22</v>
      </c>
      <c r="E317" t="s">
        <v>18</v>
      </c>
      <c r="F317" t="s">
        <v>19</v>
      </c>
      <c r="G317">
        <v>1</v>
      </c>
      <c r="H317">
        <v>22000</v>
      </c>
      <c r="I317">
        <v>22000</v>
      </c>
      <c r="J317" t="s">
        <v>31</v>
      </c>
      <c r="K317">
        <v>4</v>
      </c>
    </row>
    <row r="318" spans="1:11" x14ac:dyDescent="0.3">
      <c r="A318">
        <v>1317</v>
      </c>
      <c r="B318" s="2">
        <v>46136.987975951903</v>
      </c>
      <c r="C318" t="s">
        <v>25</v>
      </c>
      <c r="D318" t="s">
        <v>26</v>
      </c>
      <c r="E318" t="s">
        <v>13</v>
      </c>
      <c r="F318" t="s">
        <v>14</v>
      </c>
      <c r="G318">
        <v>2</v>
      </c>
      <c r="H318">
        <v>1500</v>
      </c>
      <c r="I318">
        <v>3000</v>
      </c>
      <c r="J318" t="s">
        <v>45</v>
      </c>
      <c r="K318">
        <v>4</v>
      </c>
    </row>
    <row r="319" spans="1:11" x14ac:dyDescent="0.3">
      <c r="A319">
        <v>1318</v>
      </c>
      <c r="B319" s="2">
        <v>46137.34869739478</v>
      </c>
      <c r="C319" t="s">
        <v>11</v>
      </c>
      <c r="D319" t="s">
        <v>44</v>
      </c>
      <c r="E319" t="s">
        <v>27</v>
      </c>
      <c r="F319" t="s">
        <v>19</v>
      </c>
      <c r="G319">
        <v>3</v>
      </c>
      <c r="H319">
        <v>55000</v>
      </c>
      <c r="I319">
        <v>165000</v>
      </c>
      <c r="J319" t="s">
        <v>15</v>
      </c>
      <c r="K319">
        <v>4</v>
      </c>
    </row>
    <row r="320" spans="1:11" x14ac:dyDescent="0.3">
      <c r="A320">
        <v>1319</v>
      </c>
      <c r="B320" s="2">
        <v>46137.709418837672</v>
      </c>
      <c r="C320" t="s">
        <v>25</v>
      </c>
      <c r="D320" t="s">
        <v>26</v>
      </c>
      <c r="E320" t="s">
        <v>39</v>
      </c>
      <c r="F320" t="s">
        <v>19</v>
      </c>
      <c r="G320">
        <v>2</v>
      </c>
      <c r="H320">
        <v>25000</v>
      </c>
      <c r="I320">
        <v>50000</v>
      </c>
      <c r="J320" t="s">
        <v>15</v>
      </c>
      <c r="K320">
        <v>4</v>
      </c>
    </row>
    <row r="321" spans="1:11" x14ac:dyDescent="0.3">
      <c r="A321">
        <v>1320</v>
      </c>
      <c r="B321" s="2">
        <v>46138.070140280557</v>
      </c>
      <c r="C321" t="s">
        <v>48</v>
      </c>
      <c r="D321" t="s">
        <v>12</v>
      </c>
      <c r="E321" t="s">
        <v>23</v>
      </c>
      <c r="F321" t="s">
        <v>24</v>
      </c>
      <c r="G321">
        <v>2</v>
      </c>
      <c r="H321">
        <v>14000</v>
      </c>
      <c r="I321">
        <v>28000</v>
      </c>
      <c r="J321" t="s">
        <v>15</v>
      </c>
      <c r="K321">
        <v>4</v>
      </c>
    </row>
    <row r="322" spans="1:11" x14ac:dyDescent="0.3">
      <c r="A322">
        <v>1321</v>
      </c>
      <c r="B322" s="2">
        <v>46138.430861723427</v>
      </c>
      <c r="C322" t="s">
        <v>51</v>
      </c>
      <c r="D322" t="s">
        <v>17</v>
      </c>
      <c r="E322" t="s">
        <v>23</v>
      </c>
      <c r="F322" t="s">
        <v>24</v>
      </c>
      <c r="G322">
        <v>2</v>
      </c>
      <c r="H322">
        <v>14000</v>
      </c>
      <c r="I322">
        <v>28000</v>
      </c>
      <c r="J322" t="s">
        <v>31</v>
      </c>
      <c r="K322">
        <v>4</v>
      </c>
    </row>
    <row r="323" spans="1:11" x14ac:dyDescent="0.3">
      <c r="A323">
        <v>1322</v>
      </c>
      <c r="B323" s="2">
        <v>46138.791583166327</v>
      </c>
      <c r="C323" t="s">
        <v>21</v>
      </c>
      <c r="D323" t="s">
        <v>12</v>
      </c>
      <c r="E323" t="s">
        <v>27</v>
      </c>
      <c r="F323" t="s">
        <v>19</v>
      </c>
      <c r="G323">
        <v>1</v>
      </c>
      <c r="H323">
        <v>55000</v>
      </c>
      <c r="I323">
        <v>55000</v>
      </c>
      <c r="J323" t="s">
        <v>15</v>
      </c>
      <c r="K323">
        <v>4</v>
      </c>
    </row>
    <row r="324" spans="1:11" x14ac:dyDescent="0.3">
      <c r="A324">
        <v>1323</v>
      </c>
      <c r="B324" s="2">
        <v>46139.152304609212</v>
      </c>
      <c r="C324" t="s">
        <v>28</v>
      </c>
      <c r="D324" t="s">
        <v>26</v>
      </c>
      <c r="E324" t="s">
        <v>39</v>
      </c>
      <c r="F324" t="s">
        <v>19</v>
      </c>
      <c r="G324">
        <v>1</v>
      </c>
      <c r="H324">
        <v>25000</v>
      </c>
      <c r="I324">
        <v>25000</v>
      </c>
      <c r="J324" t="s">
        <v>31</v>
      </c>
      <c r="K324">
        <v>4</v>
      </c>
    </row>
    <row r="325" spans="1:11" x14ac:dyDescent="0.3">
      <c r="A325">
        <v>1324</v>
      </c>
      <c r="B325" s="2">
        <v>46139.513026052096</v>
      </c>
      <c r="C325" t="s">
        <v>41</v>
      </c>
      <c r="D325" t="s">
        <v>44</v>
      </c>
      <c r="E325" t="s">
        <v>39</v>
      </c>
      <c r="F325" t="s">
        <v>19</v>
      </c>
      <c r="G325">
        <v>3</v>
      </c>
      <c r="H325">
        <v>25000</v>
      </c>
      <c r="I325">
        <v>75000</v>
      </c>
      <c r="J325" t="s">
        <v>20</v>
      </c>
      <c r="K325">
        <v>4</v>
      </c>
    </row>
    <row r="326" spans="1:11" x14ac:dyDescent="0.3">
      <c r="A326">
        <v>1325</v>
      </c>
      <c r="B326" s="2">
        <v>46139.873747494988</v>
      </c>
      <c r="C326" t="s">
        <v>37</v>
      </c>
      <c r="D326" t="s">
        <v>44</v>
      </c>
      <c r="E326" t="s">
        <v>23</v>
      </c>
      <c r="F326" t="s">
        <v>24</v>
      </c>
      <c r="G326">
        <v>1</v>
      </c>
      <c r="H326">
        <v>14000</v>
      </c>
      <c r="I326">
        <v>14000</v>
      </c>
      <c r="J326" t="s">
        <v>31</v>
      </c>
      <c r="K326">
        <v>5</v>
      </c>
    </row>
    <row r="327" spans="1:11" x14ac:dyDescent="0.3">
      <c r="A327">
        <v>1326</v>
      </c>
      <c r="B327" s="2">
        <v>46140.234468937873</v>
      </c>
      <c r="C327" t="s">
        <v>47</v>
      </c>
      <c r="D327" t="s">
        <v>22</v>
      </c>
      <c r="E327" t="s">
        <v>13</v>
      </c>
      <c r="F327" t="s">
        <v>14</v>
      </c>
      <c r="G327">
        <v>3</v>
      </c>
      <c r="H327">
        <v>2000</v>
      </c>
      <c r="I327">
        <v>6000</v>
      </c>
      <c r="J327" t="s">
        <v>45</v>
      </c>
      <c r="K327">
        <v>4</v>
      </c>
    </row>
    <row r="328" spans="1:11" x14ac:dyDescent="0.3">
      <c r="A328">
        <v>1327</v>
      </c>
      <c r="B328" s="2">
        <v>46140.595190380751</v>
      </c>
      <c r="C328" t="s">
        <v>36</v>
      </c>
      <c r="D328" t="s">
        <v>12</v>
      </c>
      <c r="E328" t="s">
        <v>23</v>
      </c>
      <c r="F328" t="s">
        <v>24</v>
      </c>
      <c r="G328">
        <v>1</v>
      </c>
      <c r="H328">
        <v>14500</v>
      </c>
      <c r="I328">
        <v>14500</v>
      </c>
      <c r="J328" t="s">
        <v>15</v>
      </c>
      <c r="K328">
        <v>5</v>
      </c>
    </row>
    <row r="329" spans="1:11" x14ac:dyDescent="0.3">
      <c r="A329">
        <v>1328</v>
      </c>
      <c r="B329" s="2">
        <v>46140.955911823643</v>
      </c>
      <c r="C329" t="s">
        <v>41</v>
      </c>
      <c r="D329" t="s">
        <v>22</v>
      </c>
      <c r="E329" t="s">
        <v>33</v>
      </c>
      <c r="F329" t="s">
        <v>14</v>
      </c>
      <c r="G329">
        <v>1</v>
      </c>
      <c r="H329">
        <v>2000</v>
      </c>
      <c r="I329">
        <v>2000</v>
      </c>
      <c r="J329" t="s">
        <v>15</v>
      </c>
      <c r="K329">
        <v>5</v>
      </c>
    </row>
    <row r="330" spans="1:11" x14ac:dyDescent="0.3">
      <c r="A330">
        <v>1329</v>
      </c>
      <c r="B330" s="2">
        <v>46141.316633266528</v>
      </c>
      <c r="C330" t="s">
        <v>28</v>
      </c>
      <c r="D330" t="s">
        <v>17</v>
      </c>
      <c r="E330" t="s">
        <v>43</v>
      </c>
      <c r="F330" t="s">
        <v>14</v>
      </c>
      <c r="G330">
        <v>1</v>
      </c>
      <c r="H330">
        <v>1300</v>
      </c>
      <c r="I330">
        <v>1300</v>
      </c>
      <c r="J330" t="s">
        <v>20</v>
      </c>
      <c r="K330">
        <v>3</v>
      </c>
    </row>
    <row r="331" spans="1:11" x14ac:dyDescent="0.3">
      <c r="A331">
        <v>1330</v>
      </c>
      <c r="B331" s="2">
        <v>46141.677354709413</v>
      </c>
      <c r="C331" t="s">
        <v>21</v>
      </c>
      <c r="D331" t="s">
        <v>17</v>
      </c>
      <c r="E331" t="s">
        <v>39</v>
      </c>
      <c r="F331" t="s">
        <v>19</v>
      </c>
      <c r="G331">
        <v>5</v>
      </c>
      <c r="H331">
        <v>25500</v>
      </c>
      <c r="I331">
        <v>127500</v>
      </c>
      <c r="J331" t="s">
        <v>15</v>
      </c>
      <c r="K331">
        <v>4</v>
      </c>
    </row>
    <row r="332" spans="1:11" x14ac:dyDescent="0.3">
      <c r="A332">
        <v>1331</v>
      </c>
      <c r="B332" s="2">
        <v>46142.038076152297</v>
      </c>
      <c r="C332" t="s">
        <v>50</v>
      </c>
      <c r="D332" t="s">
        <v>44</v>
      </c>
      <c r="E332" t="s">
        <v>18</v>
      </c>
      <c r="F332" t="s">
        <v>19</v>
      </c>
      <c r="G332">
        <v>3</v>
      </c>
      <c r="H332">
        <v>22000</v>
      </c>
      <c r="I332">
        <v>66000</v>
      </c>
      <c r="J332" t="s">
        <v>15</v>
      </c>
      <c r="K332">
        <v>3</v>
      </c>
    </row>
    <row r="333" spans="1:11" x14ac:dyDescent="0.3">
      <c r="A333">
        <v>1332</v>
      </c>
      <c r="B333" s="2">
        <v>46142.398797595182</v>
      </c>
      <c r="C333" t="s">
        <v>47</v>
      </c>
      <c r="D333" t="s">
        <v>12</v>
      </c>
      <c r="E333" t="s">
        <v>39</v>
      </c>
      <c r="F333" t="s">
        <v>19</v>
      </c>
      <c r="G333">
        <v>1</v>
      </c>
      <c r="H333">
        <v>25500</v>
      </c>
      <c r="I333">
        <v>25500</v>
      </c>
      <c r="J333" t="s">
        <v>45</v>
      </c>
      <c r="K333">
        <v>5</v>
      </c>
    </row>
    <row r="334" spans="1:11" x14ac:dyDescent="0.3">
      <c r="A334">
        <v>1333</v>
      </c>
      <c r="B334" s="2">
        <v>46142.759519038067</v>
      </c>
      <c r="C334" t="s">
        <v>46</v>
      </c>
      <c r="D334" t="s">
        <v>26</v>
      </c>
      <c r="E334" t="s">
        <v>29</v>
      </c>
      <c r="F334" t="s">
        <v>19</v>
      </c>
      <c r="G334">
        <v>1</v>
      </c>
      <c r="H334">
        <v>12000</v>
      </c>
      <c r="I334">
        <v>12000</v>
      </c>
      <c r="J334" t="s">
        <v>20</v>
      </c>
      <c r="K334">
        <v>5</v>
      </c>
    </row>
    <row r="335" spans="1:11" x14ac:dyDescent="0.3">
      <c r="A335">
        <v>1334</v>
      </c>
      <c r="B335" s="2">
        <v>46143.120240480959</v>
      </c>
      <c r="C335" t="s">
        <v>37</v>
      </c>
      <c r="D335" t="s">
        <v>17</v>
      </c>
      <c r="E335" t="s">
        <v>27</v>
      </c>
      <c r="F335" t="s">
        <v>19</v>
      </c>
      <c r="G335">
        <v>2</v>
      </c>
      <c r="H335">
        <v>55000</v>
      </c>
      <c r="I335">
        <v>110000</v>
      </c>
      <c r="J335" t="s">
        <v>31</v>
      </c>
      <c r="K335">
        <v>4</v>
      </c>
    </row>
    <row r="336" spans="1:11" x14ac:dyDescent="0.3">
      <c r="A336">
        <v>1335</v>
      </c>
      <c r="B336" s="2">
        <v>46143.480961923837</v>
      </c>
      <c r="C336" t="s">
        <v>41</v>
      </c>
      <c r="D336" t="s">
        <v>17</v>
      </c>
      <c r="E336" t="s">
        <v>29</v>
      </c>
      <c r="F336" t="s">
        <v>19</v>
      </c>
      <c r="G336">
        <v>5</v>
      </c>
      <c r="H336">
        <v>11500</v>
      </c>
      <c r="I336">
        <v>57500</v>
      </c>
      <c r="J336" t="s">
        <v>20</v>
      </c>
      <c r="K336">
        <v>4</v>
      </c>
    </row>
    <row r="337" spans="1:11" x14ac:dyDescent="0.3">
      <c r="A337">
        <v>1336</v>
      </c>
      <c r="B337" s="2">
        <v>46143.841683366722</v>
      </c>
      <c r="C337" t="s">
        <v>35</v>
      </c>
      <c r="D337" t="s">
        <v>17</v>
      </c>
      <c r="E337" t="s">
        <v>13</v>
      </c>
      <c r="F337" t="s">
        <v>14</v>
      </c>
      <c r="G337">
        <v>1</v>
      </c>
      <c r="H337">
        <v>1500</v>
      </c>
      <c r="I337">
        <v>1500</v>
      </c>
      <c r="J337" t="s">
        <v>20</v>
      </c>
      <c r="K337">
        <v>5</v>
      </c>
    </row>
    <row r="338" spans="1:11" x14ac:dyDescent="0.3">
      <c r="A338">
        <v>1337</v>
      </c>
      <c r="B338" s="2">
        <v>46144.202404809621</v>
      </c>
      <c r="C338" t="s">
        <v>34</v>
      </c>
      <c r="D338" t="s">
        <v>38</v>
      </c>
      <c r="E338" t="s">
        <v>39</v>
      </c>
      <c r="F338" t="s">
        <v>19</v>
      </c>
      <c r="G338">
        <v>3</v>
      </c>
      <c r="H338">
        <v>25000</v>
      </c>
      <c r="I338">
        <v>75000</v>
      </c>
      <c r="J338" t="s">
        <v>20</v>
      </c>
      <c r="K338">
        <v>5</v>
      </c>
    </row>
    <row r="339" spans="1:11" x14ac:dyDescent="0.3">
      <c r="A339">
        <v>1338</v>
      </c>
      <c r="B339" s="2">
        <v>46144.563126252498</v>
      </c>
      <c r="C339" t="s">
        <v>51</v>
      </c>
      <c r="D339" t="s">
        <v>26</v>
      </c>
      <c r="E339" t="s">
        <v>29</v>
      </c>
      <c r="F339" t="s">
        <v>19</v>
      </c>
      <c r="G339">
        <v>1</v>
      </c>
      <c r="H339">
        <v>12000</v>
      </c>
      <c r="I339">
        <v>12000</v>
      </c>
      <c r="J339" t="s">
        <v>20</v>
      </c>
      <c r="K339">
        <v>4</v>
      </c>
    </row>
    <row r="340" spans="1:11" x14ac:dyDescent="0.3">
      <c r="A340">
        <v>1339</v>
      </c>
      <c r="B340" s="2">
        <v>46144.923847695383</v>
      </c>
      <c r="C340" t="s">
        <v>30</v>
      </c>
      <c r="D340" t="s">
        <v>22</v>
      </c>
      <c r="E340" t="s">
        <v>13</v>
      </c>
      <c r="F340" t="s">
        <v>14</v>
      </c>
      <c r="G340">
        <v>5</v>
      </c>
      <c r="H340">
        <v>1500</v>
      </c>
      <c r="I340">
        <v>7500</v>
      </c>
      <c r="J340" t="s">
        <v>15</v>
      </c>
      <c r="K340">
        <v>5</v>
      </c>
    </row>
    <row r="341" spans="1:11" x14ac:dyDescent="0.3">
      <c r="A341">
        <v>1340</v>
      </c>
      <c r="B341" s="2">
        <v>46145.284569138283</v>
      </c>
      <c r="C341" t="s">
        <v>47</v>
      </c>
      <c r="D341" t="s">
        <v>26</v>
      </c>
      <c r="E341" t="s">
        <v>23</v>
      </c>
      <c r="F341" t="s">
        <v>24</v>
      </c>
      <c r="G341">
        <v>1</v>
      </c>
      <c r="H341">
        <v>14000</v>
      </c>
      <c r="I341">
        <v>14000</v>
      </c>
      <c r="J341" t="s">
        <v>20</v>
      </c>
      <c r="K341">
        <v>5</v>
      </c>
    </row>
    <row r="342" spans="1:11" x14ac:dyDescent="0.3">
      <c r="A342">
        <v>1341</v>
      </c>
      <c r="B342" s="2">
        <v>46145.64529058116</v>
      </c>
      <c r="C342" t="s">
        <v>28</v>
      </c>
      <c r="D342" t="s">
        <v>38</v>
      </c>
      <c r="E342" t="s">
        <v>18</v>
      </c>
      <c r="F342" t="s">
        <v>19</v>
      </c>
      <c r="G342">
        <v>1</v>
      </c>
      <c r="H342">
        <v>22500</v>
      </c>
      <c r="I342">
        <v>22500</v>
      </c>
      <c r="J342" t="s">
        <v>31</v>
      </c>
      <c r="K342">
        <v>4</v>
      </c>
    </row>
    <row r="343" spans="1:11" x14ac:dyDescent="0.3">
      <c r="A343">
        <v>1342</v>
      </c>
      <c r="B343" s="2">
        <v>46146.006012024038</v>
      </c>
      <c r="C343" t="s">
        <v>32</v>
      </c>
      <c r="D343" t="s">
        <v>22</v>
      </c>
      <c r="E343" t="s">
        <v>29</v>
      </c>
      <c r="F343" t="s">
        <v>19</v>
      </c>
      <c r="G343">
        <v>1</v>
      </c>
      <c r="H343">
        <v>12000</v>
      </c>
      <c r="I343">
        <v>12000</v>
      </c>
      <c r="J343" t="s">
        <v>15</v>
      </c>
      <c r="K343">
        <v>2</v>
      </c>
    </row>
    <row r="344" spans="1:11" x14ac:dyDescent="0.3">
      <c r="A344">
        <v>1343</v>
      </c>
      <c r="B344" s="2">
        <v>46146.36673346693</v>
      </c>
      <c r="C344" t="s">
        <v>41</v>
      </c>
      <c r="D344" t="s">
        <v>22</v>
      </c>
      <c r="E344" t="s">
        <v>33</v>
      </c>
      <c r="F344" t="s">
        <v>14</v>
      </c>
      <c r="G344">
        <v>1</v>
      </c>
      <c r="H344">
        <v>2500</v>
      </c>
      <c r="I344">
        <v>2500</v>
      </c>
      <c r="J344" t="s">
        <v>15</v>
      </c>
      <c r="K344">
        <v>5</v>
      </c>
    </row>
    <row r="345" spans="1:11" x14ac:dyDescent="0.3">
      <c r="A345">
        <v>1344</v>
      </c>
      <c r="B345" s="2">
        <v>46146.727454909807</v>
      </c>
      <c r="C345" t="s">
        <v>28</v>
      </c>
      <c r="D345" t="s">
        <v>44</v>
      </c>
      <c r="E345" t="s">
        <v>27</v>
      </c>
      <c r="F345" t="s">
        <v>19</v>
      </c>
      <c r="G345">
        <v>4</v>
      </c>
      <c r="H345">
        <v>55000</v>
      </c>
      <c r="I345">
        <v>220000</v>
      </c>
      <c r="J345" t="s">
        <v>31</v>
      </c>
      <c r="K345">
        <v>5</v>
      </c>
    </row>
    <row r="346" spans="1:11" x14ac:dyDescent="0.3">
      <c r="A346">
        <v>1345</v>
      </c>
      <c r="B346" s="2">
        <v>46147.0881763527</v>
      </c>
      <c r="C346" t="s">
        <v>48</v>
      </c>
      <c r="D346" t="s">
        <v>26</v>
      </c>
      <c r="E346" t="s">
        <v>43</v>
      </c>
      <c r="F346" t="s">
        <v>14</v>
      </c>
      <c r="G346">
        <v>1</v>
      </c>
      <c r="H346">
        <v>800</v>
      </c>
      <c r="I346">
        <v>800</v>
      </c>
      <c r="J346" t="s">
        <v>31</v>
      </c>
      <c r="K346">
        <v>4</v>
      </c>
    </row>
    <row r="347" spans="1:11" x14ac:dyDescent="0.3">
      <c r="A347">
        <v>1346</v>
      </c>
      <c r="B347" s="2">
        <v>46147.448897795592</v>
      </c>
      <c r="C347" t="s">
        <v>50</v>
      </c>
      <c r="D347" t="s">
        <v>17</v>
      </c>
      <c r="E347" t="s">
        <v>39</v>
      </c>
      <c r="F347" t="s">
        <v>19</v>
      </c>
      <c r="G347">
        <v>2</v>
      </c>
      <c r="H347">
        <v>25000</v>
      </c>
      <c r="I347">
        <v>50000</v>
      </c>
      <c r="J347" t="s">
        <v>15</v>
      </c>
      <c r="K347">
        <v>4</v>
      </c>
    </row>
    <row r="348" spans="1:11" x14ac:dyDescent="0.3">
      <c r="A348">
        <v>1347</v>
      </c>
      <c r="B348" s="2">
        <v>46147.809619238469</v>
      </c>
      <c r="C348" t="s">
        <v>41</v>
      </c>
      <c r="D348" t="s">
        <v>22</v>
      </c>
      <c r="E348" t="s">
        <v>39</v>
      </c>
      <c r="F348" t="s">
        <v>19</v>
      </c>
      <c r="G348">
        <v>2</v>
      </c>
      <c r="H348">
        <v>24500</v>
      </c>
      <c r="I348">
        <v>49000</v>
      </c>
      <c r="J348" t="s">
        <v>15</v>
      </c>
      <c r="K348">
        <v>5</v>
      </c>
    </row>
    <row r="349" spans="1:11" x14ac:dyDescent="0.3">
      <c r="A349">
        <v>1348</v>
      </c>
      <c r="B349" s="2">
        <v>46148.170340681347</v>
      </c>
      <c r="C349" t="s">
        <v>21</v>
      </c>
      <c r="D349" t="s">
        <v>26</v>
      </c>
      <c r="E349" t="s">
        <v>27</v>
      </c>
      <c r="F349" t="s">
        <v>19</v>
      </c>
      <c r="G349">
        <v>2</v>
      </c>
      <c r="H349">
        <v>54500</v>
      </c>
      <c r="I349">
        <v>109000</v>
      </c>
      <c r="J349" t="s">
        <v>45</v>
      </c>
      <c r="K349">
        <v>5</v>
      </c>
    </row>
    <row r="350" spans="1:11" x14ac:dyDescent="0.3">
      <c r="A350">
        <v>1349</v>
      </c>
      <c r="B350" s="2">
        <v>46148.531062124253</v>
      </c>
      <c r="C350" t="s">
        <v>47</v>
      </c>
      <c r="D350" t="s">
        <v>26</v>
      </c>
      <c r="E350" t="s">
        <v>18</v>
      </c>
      <c r="F350" t="s">
        <v>19</v>
      </c>
      <c r="G350">
        <v>1</v>
      </c>
      <c r="H350">
        <v>22000</v>
      </c>
      <c r="I350">
        <v>22000</v>
      </c>
      <c r="J350" t="s">
        <v>31</v>
      </c>
      <c r="K350">
        <v>5</v>
      </c>
    </row>
    <row r="351" spans="1:11" x14ac:dyDescent="0.3">
      <c r="A351">
        <v>1350</v>
      </c>
      <c r="B351" s="2">
        <v>46148.891783567131</v>
      </c>
      <c r="C351" t="s">
        <v>21</v>
      </c>
      <c r="D351" t="s">
        <v>44</v>
      </c>
      <c r="E351" t="s">
        <v>43</v>
      </c>
      <c r="F351" t="s">
        <v>14</v>
      </c>
      <c r="G351">
        <v>2</v>
      </c>
      <c r="H351">
        <v>800</v>
      </c>
      <c r="I351">
        <v>1600</v>
      </c>
      <c r="J351" t="s">
        <v>20</v>
      </c>
      <c r="K351">
        <v>4</v>
      </c>
    </row>
    <row r="352" spans="1:11" x14ac:dyDescent="0.3">
      <c r="A352">
        <v>1351</v>
      </c>
      <c r="B352" s="2">
        <v>46149.252505010008</v>
      </c>
      <c r="C352" t="s">
        <v>37</v>
      </c>
      <c r="D352" t="s">
        <v>26</v>
      </c>
      <c r="E352" t="s">
        <v>43</v>
      </c>
      <c r="F352" t="s">
        <v>14</v>
      </c>
      <c r="G352">
        <v>1</v>
      </c>
      <c r="H352">
        <v>1300</v>
      </c>
      <c r="I352">
        <v>1300</v>
      </c>
      <c r="J352" t="s">
        <v>15</v>
      </c>
      <c r="K352">
        <v>4</v>
      </c>
    </row>
    <row r="353" spans="1:11" x14ac:dyDescent="0.3">
      <c r="A353">
        <v>1352</v>
      </c>
      <c r="B353" s="2">
        <v>46149.613226452908</v>
      </c>
      <c r="C353" t="s">
        <v>37</v>
      </c>
      <c r="D353" t="s">
        <v>38</v>
      </c>
      <c r="E353" t="s">
        <v>13</v>
      </c>
      <c r="F353" t="s">
        <v>14</v>
      </c>
      <c r="G353">
        <v>1</v>
      </c>
      <c r="H353">
        <v>1000</v>
      </c>
      <c r="I353">
        <v>1000</v>
      </c>
      <c r="J353" t="s">
        <v>15</v>
      </c>
      <c r="K353">
        <v>5</v>
      </c>
    </row>
    <row r="354" spans="1:11" x14ac:dyDescent="0.3">
      <c r="A354">
        <v>1353</v>
      </c>
      <c r="B354" s="2">
        <v>46149.973947895793</v>
      </c>
      <c r="C354" t="s">
        <v>41</v>
      </c>
      <c r="D354" t="s">
        <v>44</v>
      </c>
      <c r="E354" t="s">
        <v>13</v>
      </c>
      <c r="F354" t="s">
        <v>14</v>
      </c>
      <c r="G354">
        <v>2</v>
      </c>
      <c r="H354">
        <v>1500</v>
      </c>
      <c r="I354">
        <v>3000</v>
      </c>
      <c r="J354" t="s">
        <v>31</v>
      </c>
      <c r="K354">
        <v>5</v>
      </c>
    </row>
    <row r="355" spans="1:11" x14ac:dyDescent="0.3">
      <c r="A355">
        <v>1354</v>
      </c>
      <c r="B355" s="2">
        <v>46150.33466933867</v>
      </c>
      <c r="C355" t="s">
        <v>37</v>
      </c>
      <c r="D355" t="s">
        <v>38</v>
      </c>
      <c r="E355" t="s">
        <v>29</v>
      </c>
      <c r="F355" t="s">
        <v>19</v>
      </c>
      <c r="G355">
        <v>3</v>
      </c>
      <c r="H355">
        <v>11500</v>
      </c>
      <c r="I355">
        <v>34500</v>
      </c>
      <c r="J355" t="s">
        <v>45</v>
      </c>
      <c r="K355">
        <v>4</v>
      </c>
    </row>
    <row r="356" spans="1:11" x14ac:dyDescent="0.3">
      <c r="A356">
        <v>1355</v>
      </c>
      <c r="B356" s="2">
        <v>46150.695390781562</v>
      </c>
      <c r="C356" t="s">
        <v>42</v>
      </c>
      <c r="D356" t="s">
        <v>38</v>
      </c>
      <c r="E356" t="s">
        <v>33</v>
      </c>
      <c r="F356" t="s">
        <v>14</v>
      </c>
      <c r="G356">
        <v>1</v>
      </c>
      <c r="H356">
        <v>2500</v>
      </c>
      <c r="I356">
        <v>2500</v>
      </c>
      <c r="J356" t="s">
        <v>15</v>
      </c>
      <c r="K356">
        <v>4</v>
      </c>
    </row>
    <row r="357" spans="1:11" x14ac:dyDescent="0.3">
      <c r="A357">
        <v>1356</v>
      </c>
      <c r="B357" s="2">
        <v>46151.056112224447</v>
      </c>
      <c r="C357" t="s">
        <v>47</v>
      </c>
      <c r="D357" t="s">
        <v>38</v>
      </c>
      <c r="E357" t="s">
        <v>18</v>
      </c>
      <c r="F357" t="s">
        <v>19</v>
      </c>
      <c r="G357">
        <v>1</v>
      </c>
      <c r="H357">
        <v>22000</v>
      </c>
      <c r="I357">
        <v>22000</v>
      </c>
      <c r="J357" t="s">
        <v>31</v>
      </c>
      <c r="K357">
        <v>5</v>
      </c>
    </row>
    <row r="358" spans="1:11" x14ac:dyDescent="0.3">
      <c r="A358">
        <v>1357</v>
      </c>
      <c r="B358" s="2">
        <v>46151.416833667317</v>
      </c>
      <c r="C358" t="s">
        <v>36</v>
      </c>
      <c r="D358" t="s">
        <v>26</v>
      </c>
      <c r="E358" t="s">
        <v>33</v>
      </c>
      <c r="F358" t="s">
        <v>14</v>
      </c>
      <c r="G358">
        <v>2</v>
      </c>
      <c r="H358">
        <v>3000</v>
      </c>
      <c r="I358">
        <v>6000</v>
      </c>
      <c r="J358" t="s">
        <v>15</v>
      </c>
      <c r="K358">
        <v>4</v>
      </c>
    </row>
    <row r="359" spans="1:11" x14ac:dyDescent="0.3">
      <c r="A359">
        <v>1358</v>
      </c>
      <c r="B359" s="2">
        <v>46151.777555110217</v>
      </c>
      <c r="C359" t="s">
        <v>36</v>
      </c>
      <c r="D359" t="s">
        <v>17</v>
      </c>
      <c r="E359" t="s">
        <v>39</v>
      </c>
      <c r="F359" t="s">
        <v>19</v>
      </c>
      <c r="G359">
        <v>3</v>
      </c>
      <c r="H359">
        <v>25000</v>
      </c>
      <c r="I359">
        <v>75000</v>
      </c>
      <c r="J359" t="s">
        <v>31</v>
      </c>
      <c r="K359">
        <v>4</v>
      </c>
    </row>
    <row r="360" spans="1:11" x14ac:dyDescent="0.3">
      <c r="A360">
        <v>1359</v>
      </c>
      <c r="B360" s="2">
        <v>46152.138276553102</v>
      </c>
      <c r="C360" t="s">
        <v>35</v>
      </c>
      <c r="D360" t="s">
        <v>26</v>
      </c>
      <c r="E360" t="s">
        <v>39</v>
      </c>
      <c r="F360" t="s">
        <v>19</v>
      </c>
      <c r="G360">
        <v>4</v>
      </c>
      <c r="H360">
        <v>25000</v>
      </c>
      <c r="I360">
        <v>100000</v>
      </c>
      <c r="J360" t="s">
        <v>15</v>
      </c>
      <c r="K360">
        <v>3</v>
      </c>
    </row>
    <row r="361" spans="1:11" x14ac:dyDescent="0.3">
      <c r="A361">
        <v>1360</v>
      </c>
      <c r="B361" s="2">
        <v>46152.498997995986</v>
      </c>
      <c r="C361" t="s">
        <v>49</v>
      </c>
      <c r="D361" t="s">
        <v>17</v>
      </c>
      <c r="E361" t="s">
        <v>29</v>
      </c>
      <c r="F361" t="s">
        <v>19</v>
      </c>
      <c r="G361">
        <v>2</v>
      </c>
      <c r="H361">
        <v>12000</v>
      </c>
      <c r="I361">
        <v>24000</v>
      </c>
      <c r="J361" t="s">
        <v>15</v>
      </c>
      <c r="K361">
        <v>3</v>
      </c>
    </row>
    <row r="362" spans="1:11" x14ac:dyDescent="0.3">
      <c r="A362">
        <v>1361</v>
      </c>
      <c r="B362" s="2">
        <v>46152.859719438879</v>
      </c>
      <c r="C362" t="s">
        <v>47</v>
      </c>
      <c r="D362" t="s">
        <v>22</v>
      </c>
      <c r="E362" t="s">
        <v>13</v>
      </c>
      <c r="F362" t="s">
        <v>14</v>
      </c>
      <c r="G362">
        <v>2</v>
      </c>
      <c r="H362">
        <v>1000</v>
      </c>
      <c r="I362">
        <v>2000</v>
      </c>
      <c r="J362" t="s">
        <v>20</v>
      </c>
      <c r="K362">
        <v>5</v>
      </c>
    </row>
    <row r="363" spans="1:11" x14ac:dyDescent="0.3">
      <c r="A363">
        <v>1362</v>
      </c>
      <c r="B363" s="2">
        <v>46153.220440881763</v>
      </c>
      <c r="C363" t="s">
        <v>42</v>
      </c>
      <c r="D363" t="s">
        <v>26</v>
      </c>
      <c r="E363" t="s">
        <v>39</v>
      </c>
      <c r="F363" t="s">
        <v>19</v>
      </c>
      <c r="G363">
        <v>1</v>
      </c>
      <c r="H363">
        <v>25000</v>
      </c>
      <c r="I363">
        <v>25000</v>
      </c>
      <c r="J363" t="s">
        <v>31</v>
      </c>
      <c r="K363">
        <v>5</v>
      </c>
    </row>
    <row r="364" spans="1:11" x14ac:dyDescent="0.3">
      <c r="A364">
        <v>1363</v>
      </c>
      <c r="B364" s="2">
        <v>46153.581162324641</v>
      </c>
      <c r="C364" t="s">
        <v>16</v>
      </c>
      <c r="D364" t="s">
        <v>44</v>
      </c>
      <c r="E364" t="s">
        <v>29</v>
      </c>
      <c r="F364" t="s">
        <v>19</v>
      </c>
      <c r="G364">
        <v>3</v>
      </c>
      <c r="H364">
        <v>12000</v>
      </c>
      <c r="I364">
        <v>36000</v>
      </c>
      <c r="J364" t="s">
        <v>15</v>
      </c>
      <c r="K364">
        <v>4</v>
      </c>
    </row>
    <row r="365" spans="1:11" x14ac:dyDescent="0.3">
      <c r="A365">
        <v>1364</v>
      </c>
      <c r="B365" s="2">
        <v>46153.941883767533</v>
      </c>
      <c r="C365" t="s">
        <v>41</v>
      </c>
      <c r="D365" t="s">
        <v>38</v>
      </c>
      <c r="E365" t="s">
        <v>27</v>
      </c>
      <c r="F365" t="s">
        <v>19</v>
      </c>
      <c r="G365">
        <v>1</v>
      </c>
      <c r="H365">
        <v>55000</v>
      </c>
      <c r="I365">
        <v>55000</v>
      </c>
      <c r="J365" t="s">
        <v>31</v>
      </c>
      <c r="K365">
        <v>5</v>
      </c>
    </row>
    <row r="366" spans="1:11" x14ac:dyDescent="0.3">
      <c r="A366">
        <v>1365</v>
      </c>
      <c r="B366" s="2">
        <v>46154.302605210418</v>
      </c>
      <c r="C366" t="s">
        <v>51</v>
      </c>
      <c r="D366" t="s">
        <v>17</v>
      </c>
      <c r="E366" t="s">
        <v>27</v>
      </c>
      <c r="F366" t="s">
        <v>19</v>
      </c>
      <c r="G366">
        <v>1</v>
      </c>
      <c r="H366">
        <v>55000</v>
      </c>
      <c r="I366">
        <v>55000</v>
      </c>
      <c r="J366" t="s">
        <v>15</v>
      </c>
      <c r="K366">
        <v>5</v>
      </c>
    </row>
    <row r="367" spans="1:11" x14ac:dyDescent="0.3">
      <c r="A367">
        <v>1366</v>
      </c>
      <c r="B367" s="2">
        <v>46154.663326653303</v>
      </c>
      <c r="C367" t="s">
        <v>51</v>
      </c>
      <c r="D367" t="s">
        <v>12</v>
      </c>
      <c r="E367" t="s">
        <v>13</v>
      </c>
      <c r="F367" t="s">
        <v>14</v>
      </c>
      <c r="G367">
        <v>1</v>
      </c>
      <c r="H367">
        <v>1500</v>
      </c>
      <c r="I367">
        <v>1500</v>
      </c>
      <c r="J367" t="s">
        <v>31</v>
      </c>
      <c r="K367">
        <v>4</v>
      </c>
    </row>
    <row r="368" spans="1:11" x14ac:dyDescent="0.3">
      <c r="A368">
        <v>1367</v>
      </c>
      <c r="B368" s="2">
        <v>46155.024048096187</v>
      </c>
      <c r="C368" t="s">
        <v>28</v>
      </c>
      <c r="D368" t="s">
        <v>38</v>
      </c>
      <c r="E368" t="s">
        <v>13</v>
      </c>
      <c r="F368" t="s">
        <v>14</v>
      </c>
      <c r="G368">
        <v>1</v>
      </c>
      <c r="H368">
        <v>1500</v>
      </c>
      <c r="I368">
        <v>1500</v>
      </c>
      <c r="J368" t="s">
        <v>31</v>
      </c>
      <c r="K368">
        <v>4</v>
      </c>
    </row>
    <row r="369" spans="1:11" x14ac:dyDescent="0.3">
      <c r="A369">
        <v>1368</v>
      </c>
      <c r="B369" s="2">
        <v>46155.384769539072</v>
      </c>
      <c r="C369" t="s">
        <v>11</v>
      </c>
      <c r="D369" t="s">
        <v>12</v>
      </c>
      <c r="E369" t="s">
        <v>29</v>
      </c>
      <c r="F369" t="s">
        <v>19</v>
      </c>
      <c r="G369">
        <v>2</v>
      </c>
      <c r="H369">
        <v>12000</v>
      </c>
      <c r="I369">
        <v>24000</v>
      </c>
      <c r="J369" t="s">
        <v>15</v>
      </c>
      <c r="K369">
        <v>4</v>
      </c>
    </row>
    <row r="370" spans="1:11" x14ac:dyDescent="0.3">
      <c r="A370">
        <v>1369</v>
      </c>
      <c r="B370" s="2">
        <v>46155.745490981957</v>
      </c>
      <c r="C370" t="s">
        <v>30</v>
      </c>
      <c r="D370" t="s">
        <v>38</v>
      </c>
      <c r="E370" t="s">
        <v>27</v>
      </c>
      <c r="F370" t="s">
        <v>19</v>
      </c>
      <c r="G370">
        <v>3</v>
      </c>
      <c r="H370">
        <v>55000</v>
      </c>
      <c r="I370">
        <v>165000</v>
      </c>
      <c r="J370" t="s">
        <v>15</v>
      </c>
      <c r="K370">
        <v>5</v>
      </c>
    </row>
    <row r="371" spans="1:11" x14ac:dyDescent="0.3">
      <c r="A371">
        <v>1370</v>
      </c>
      <c r="B371" s="2">
        <v>46156.106212424849</v>
      </c>
      <c r="C371" t="s">
        <v>46</v>
      </c>
      <c r="D371" t="s">
        <v>22</v>
      </c>
      <c r="E371" t="s">
        <v>29</v>
      </c>
      <c r="F371" t="s">
        <v>19</v>
      </c>
      <c r="G371">
        <v>1</v>
      </c>
      <c r="H371">
        <v>11500</v>
      </c>
      <c r="I371">
        <v>11500</v>
      </c>
      <c r="J371" t="s">
        <v>15</v>
      </c>
      <c r="K371">
        <v>5</v>
      </c>
    </row>
    <row r="372" spans="1:11" x14ac:dyDescent="0.3">
      <c r="A372">
        <v>1371</v>
      </c>
      <c r="B372" s="2">
        <v>46156.466933867727</v>
      </c>
      <c r="C372" t="s">
        <v>51</v>
      </c>
      <c r="D372" t="s">
        <v>22</v>
      </c>
      <c r="E372" t="s">
        <v>29</v>
      </c>
      <c r="F372" t="s">
        <v>19</v>
      </c>
      <c r="G372">
        <v>3</v>
      </c>
      <c r="H372">
        <v>12000</v>
      </c>
      <c r="I372">
        <v>36000</v>
      </c>
      <c r="J372" t="s">
        <v>15</v>
      </c>
      <c r="K372">
        <v>4</v>
      </c>
    </row>
    <row r="373" spans="1:11" x14ac:dyDescent="0.3">
      <c r="A373">
        <v>1372</v>
      </c>
      <c r="B373" s="2">
        <v>46156.827655310612</v>
      </c>
      <c r="C373" t="s">
        <v>41</v>
      </c>
      <c r="D373" t="s">
        <v>38</v>
      </c>
      <c r="E373" t="s">
        <v>23</v>
      </c>
      <c r="F373" t="s">
        <v>24</v>
      </c>
      <c r="G373">
        <v>1</v>
      </c>
      <c r="H373">
        <v>14500</v>
      </c>
      <c r="I373">
        <v>14500</v>
      </c>
      <c r="J373" t="s">
        <v>15</v>
      </c>
      <c r="K373">
        <v>3</v>
      </c>
    </row>
    <row r="374" spans="1:11" x14ac:dyDescent="0.3">
      <c r="A374">
        <v>1373</v>
      </c>
      <c r="B374" s="2">
        <v>46157.188376753496</v>
      </c>
      <c r="C374" t="s">
        <v>47</v>
      </c>
      <c r="D374" t="s">
        <v>12</v>
      </c>
      <c r="E374" t="s">
        <v>43</v>
      </c>
      <c r="F374" t="s">
        <v>14</v>
      </c>
      <c r="G374">
        <v>4</v>
      </c>
      <c r="H374">
        <v>800</v>
      </c>
      <c r="I374">
        <v>3200</v>
      </c>
      <c r="J374" t="s">
        <v>15</v>
      </c>
      <c r="K374">
        <v>3</v>
      </c>
    </row>
    <row r="375" spans="1:11" x14ac:dyDescent="0.3">
      <c r="A375">
        <v>1374</v>
      </c>
      <c r="B375" s="2">
        <v>46157.549098196389</v>
      </c>
      <c r="C375" t="s">
        <v>40</v>
      </c>
      <c r="D375" t="s">
        <v>12</v>
      </c>
      <c r="E375" t="s">
        <v>33</v>
      </c>
      <c r="F375" t="s">
        <v>14</v>
      </c>
      <c r="G375">
        <v>1</v>
      </c>
      <c r="H375">
        <v>2500</v>
      </c>
      <c r="I375">
        <v>2500</v>
      </c>
      <c r="J375" t="s">
        <v>15</v>
      </c>
      <c r="K375">
        <v>4</v>
      </c>
    </row>
    <row r="376" spans="1:11" x14ac:dyDescent="0.3">
      <c r="A376">
        <v>1375</v>
      </c>
      <c r="B376" s="2">
        <v>46157.909819639273</v>
      </c>
      <c r="C376" t="s">
        <v>36</v>
      </c>
      <c r="D376" t="s">
        <v>38</v>
      </c>
      <c r="E376" t="s">
        <v>33</v>
      </c>
      <c r="F376" t="s">
        <v>14</v>
      </c>
      <c r="G376">
        <v>5</v>
      </c>
      <c r="H376">
        <v>2500</v>
      </c>
      <c r="I376">
        <v>12500</v>
      </c>
      <c r="J376" t="s">
        <v>20</v>
      </c>
      <c r="K376">
        <v>4</v>
      </c>
    </row>
    <row r="377" spans="1:11" x14ac:dyDescent="0.3">
      <c r="A377">
        <v>1376</v>
      </c>
      <c r="B377" s="2">
        <v>46158.270541082151</v>
      </c>
      <c r="C377" t="s">
        <v>40</v>
      </c>
      <c r="D377" t="s">
        <v>22</v>
      </c>
      <c r="E377" t="s">
        <v>13</v>
      </c>
      <c r="F377" t="s">
        <v>14</v>
      </c>
      <c r="G377">
        <v>1</v>
      </c>
      <c r="H377">
        <v>1500</v>
      </c>
      <c r="I377">
        <v>1500</v>
      </c>
      <c r="J377" t="s">
        <v>31</v>
      </c>
      <c r="K377">
        <v>4</v>
      </c>
    </row>
    <row r="378" spans="1:11" x14ac:dyDescent="0.3">
      <c r="A378">
        <v>1377</v>
      </c>
      <c r="B378" s="2">
        <v>46158.631262525043</v>
      </c>
      <c r="C378" t="s">
        <v>42</v>
      </c>
      <c r="D378" t="s">
        <v>12</v>
      </c>
      <c r="E378" t="s">
        <v>39</v>
      </c>
      <c r="F378" t="s">
        <v>19</v>
      </c>
      <c r="G378">
        <v>3</v>
      </c>
      <c r="H378">
        <v>25000</v>
      </c>
      <c r="I378">
        <v>75000</v>
      </c>
      <c r="J378" t="s">
        <v>15</v>
      </c>
      <c r="K378">
        <v>4</v>
      </c>
    </row>
    <row r="379" spans="1:11" x14ac:dyDescent="0.3">
      <c r="A379">
        <v>1378</v>
      </c>
      <c r="B379" s="2">
        <v>46158.991983967928</v>
      </c>
      <c r="C379" t="s">
        <v>21</v>
      </c>
      <c r="D379" t="s">
        <v>38</v>
      </c>
      <c r="E379" t="s">
        <v>27</v>
      </c>
      <c r="F379" t="s">
        <v>19</v>
      </c>
      <c r="G379">
        <v>1</v>
      </c>
      <c r="H379">
        <v>55000</v>
      </c>
      <c r="I379">
        <v>55000</v>
      </c>
      <c r="J379" t="s">
        <v>31</v>
      </c>
      <c r="K379">
        <v>4</v>
      </c>
    </row>
    <row r="380" spans="1:11" x14ac:dyDescent="0.3">
      <c r="A380">
        <v>1379</v>
      </c>
      <c r="B380" s="2">
        <v>46159.352705410813</v>
      </c>
      <c r="C380" t="s">
        <v>25</v>
      </c>
      <c r="D380" t="s">
        <v>12</v>
      </c>
      <c r="E380" t="s">
        <v>29</v>
      </c>
      <c r="F380" t="s">
        <v>19</v>
      </c>
      <c r="G380">
        <v>1</v>
      </c>
      <c r="H380">
        <v>12000</v>
      </c>
      <c r="I380">
        <v>12000</v>
      </c>
      <c r="J380" t="s">
        <v>31</v>
      </c>
      <c r="K380">
        <v>4</v>
      </c>
    </row>
    <row r="381" spans="1:11" x14ac:dyDescent="0.3">
      <c r="A381">
        <v>1380</v>
      </c>
      <c r="B381" s="2">
        <v>46159.713426853697</v>
      </c>
      <c r="C381" t="s">
        <v>47</v>
      </c>
      <c r="D381" t="s">
        <v>44</v>
      </c>
      <c r="E381" t="s">
        <v>23</v>
      </c>
      <c r="F381" t="s">
        <v>24</v>
      </c>
      <c r="G381">
        <v>3</v>
      </c>
      <c r="H381">
        <v>14000</v>
      </c>
      <c r="I381">
        <v>42000</v>
      </c>
      <c r="J381" t="s">
        <v>31</v>
      </c>
      <c r="K381">
        <v>3</v>
      </c>
    </row>
    <row r="382" spans="1:11" x14ac:dyDescent="0.3">
      <c r="A382">
        <v>1381</v>
      </c>
      <c r="B382" s="2">
        <v>46160.074148296582</v>
      </c>
      <c r="C382" t="s">
        <v>16</v>
      </c>
      <c r="D382" t="s">
        <v>38</v>
      </c>
      <c r="E382" t="s">
        <v>18</v>
      </c>
      <c r="F382" t="s">
        <v>19</v>
      </c>
      <c r="G382">
        <v>2</v>
      </c>
      <c r="H382">
        <v>22500</v>
      </c>
      <c r="I382">
        <v>45000</v>
      </c>
      <c r="J382" t="s">
        <v>15</v>
      </c>
      <c r="K382">
        <v>4</v>
      </c>
    </row>
    <row r="383" spans="1:11" x14ac:dyDescent="0.3">
      <c r="A383">
        <v>1382</v>
      </c>
      <c r="B383" s="2">
        <v>46160.434869739467</v>
      </c>
      <c r="C383" t="s">
        <v>40</v>
      </c>
      <c r="D383" t="s">
        <v>22</v>
      </c>
      <c r="E383" t="s">
        <v>27</v>
      </c>
      <c r="F383" t="s">
        <v>19</v>
      </c>
      <c r="G383">
        <v>2</v>
      </c>
      <c r="H383">
        <v>55000</v>
      </c>
      <c r="I383">
        <v>110000</v>
      </c>
      <c r="J383" t="s">
        <v>31</v>
      </c>
      <c r="K383">
        <v>4</v>
      </c>
    </row>
    <row r="384" spans="1:11" x14ac:dyDescent="0.3">
      <c r="A384">
        <v>1383</v>
      </c>
      <c r="B384" s="2">
        <v>46160.795591182359</v>
      </c>
      <c r="C384" t="s">
        <v>50</v>
      </c>
      <c r="D384" t="s">
        <v>17</v>
      </c>
      <c r="E384" t="s">
        <v>27</v>
      </c>
      <c r="F384" t="s">
        <v>19</v>
      </c>
      <c r="G384">
        <v>4</v>
      </c>
      <c r="H384">
        <v>55500</v>
      </c>
      <c r="I384">
        <v>222000</v>
      </c>
      <c r="J384" t="s">
        <v>31</v>
      </c>
      <c r="K384">
        <v>5</v>
      </c>
    </row>
    <row r="385" spans="1:11" x14ac:dyDescent="0.3">
      <c r="A385">
        <v>1384</v>
      </c>
      <c r="B385" s="2">
        <v>46161.156312625237</v>
      </c>
      <c r="C385" t="s">
        <v>49</v>
      </c>
      <c r="D385" t="s">
        <v>26</v>
      </c>
      <c r="E385" t="s">
        <v>29</v>
      </c>
      <c r="F385" t="s">
        <v>19</v>
      </c>
      <c r="G385">
        <v>1</v>
      </c>
      <c r="H385">
        <v>12000</v>
      </c>
      <c r="I385">
        <v>12000</v>
      </c>
      <c r="J385" t="s">
        <v>45</v>
      </c>
      <c r="K385">
        <v>4</v>
      </c>
    </row>
    <row r="386" spans="1:11" x14ac:dyDescent="0.3">
      <c r="A386">
        <v>1385</v>
      </c>
      <c r="B386" s="2">
        <v>46161.517034068122</v>
      </c>
      <c r="C386" t="s">
        <v>47</v>
      </c>
      <c r="D386" t="s">
        <v>44</v>
      </c>
      <c r="E386" t="s">
        <v>33</v>
      </c>
      <c r="F386" t="s">
        <v>14</v>
      </c>
      <c r="G386">
        <v>2</v>
      </c>
      <c r="H386">
        <v>2500</v>
      </c>
      <c r="I386">
        <v>5000</v>
      </c>
      <c r="J386" t="s">
        <v>20</v>
      </c>
      <c r="K386">
        <v>4</v>
      </c>
    </row>
    <row r="387" spans="1:11" x14ac:dyDescent="0.3">
      <c r="A387">
        <v>1386</v>
      </c>
      <c r="B387" s="2">
        <v>46161.877755511021</v>
      </c>
      <c r="C387" t="s">
        <v>36</v>
      </c>
      <c r="D387" t="s">
        <v>38</v>
      </c>
      <c r="E387" t="s">
        <v>18</v>
      </c>
      <c r="F387" t="s">
        <v>19</v>
      </c>
      <c r="G387">
        <v>3</v>
      </c>
      <c r="H387">
        <v>22000</v>
      </c>
      <c r="I387">
        <v>66000</v>
      </c>
      <c r="J387" t="s">
        <v>15</v>
      </c>
      <c r="K387">
        <v>3</v>
      </c>
    </row>
    <row r="388" spans="1:11" x14ac:dyDescent="0.3">
      <c r="A388">
        <v>1387</v>
      </c>
      <c r="B388" s="2">
        <v>46162.238476953898</v>
      </c>
      <c r="C388" t="s">
        <v>37</v>
      </c>
      <c r="D388" t="s">
        <v>38</v>
      </c>
      <c r="E388" t="s">
        <v>18</v>
      </c>
      <c r="F388" t="s">
        <v>19</v>
      </c>
      <c r="G388">
        <v>1</v>
      </c>
      <c r="H388">
        <v>22000</v>
      </c>
      <c r="I388">
        <v>22000</v>
      </c>
      <c r="J388" t="s">
        <v>15</v>
      </c>
      <c r="K388">
        <v>4</v>
      </c>
    </row>
    <row r="389" spans="1:11" x14ac:dyDescent="0.3">
      <c r="A389">
        <v>1388</v>
      </c>
      <c r="B389" s="2">
        <v>46162.599198396783</v>
      </c>
      <c r="C389" t="s">
        <v>50</v>
      </c>
      <c r="D389" t="s">
        <v>12</v>
      </c>
      <c r="E389" t="s">
        <v>27</v>
      </c>
      <c r="F389" t="s">
        <v>19</v>
      </c>
      <c r="G389">
        <v>5</v>
      </c>
      <c r="H389">
        <v>55000</v>
      </c>
      <c r="I389">
        <v>275000</v>
      </c>
      <c r="J389" t="s">
        <v>31</v>
      </c>
      <c r="K389">
        <v>5</v>
      </c>
    </row>
    <row r="390" spans="1:11" x14ac:dyDescent="0.3">
      <c r="A390">
        <v>1389</v>
      </c>
      <c r="B390" s="2">
        <v>46162.959919839683</v>
      </c>
      <c r="C390" t="s">
        <v>50</v>
      </c>
      <c r="D390" t="s">
        <v>17</v>
      </c>
      <c r="E390" t="s">
        <v>39</v>
      </c>
      <c r="F390" t="s">
        <v>19</v>
      </c>
      <c r="G390">
        <v>2</v>
      </c>
      <c r="H390">
        <v>25000</v>
      </c>
      <c r="I390">
        <v>50000</v>
      </c>
      <c r="J390" t="s">
        <v>45</v>
      </c>
      <c r="K390">
        <v>4</v>
      </c>
    </row>
    <row r="391" spans="1:11" x14ac:dyDescent="0.3">
      <c r="A391">
        <v>1390</v>
      </c>
      <c r="B391" s="2">
        <v>46163.32064128256</v>
      </c>
      <c r="C391" t="s">
        <v>47</v>
      </c>
      <c r="D391" t="s">
        <v>12</v>
      </c>
      <c r="E391" t="s">
        <v>43</v>
      </c>
      <c r="F391" t="s">
        <v>14</v>
      </c>
      <c r="G391">
        <v>4</v>
      </c>
      <c r="H391">
        <v>300</v>
      </c>
      <c r="I391">
        <v>1200</v>
      </c>
      <c r="J391" t="s">
        <v>31</v>
      </c>
      <c r="K391">
        <v>5</v>
      </c>
    </row>
    <row r="392" spans="1:11" x14ac:dyDescent="0.3">
      <c r="A392">
        <v>1391</v>
      </c>
      <c r="B392" s="2">
        <v>46163.681362725438</v>
      </c>
      <c r="C392" t="s">
        <v>40</v>
      </c>
      <c r="D392" t="s">
        <v>22</v>
      </c>
      <c r="E392" t="s">
        <v>43</v>
      </c>
      <c r="F392" t="s">
        <v>14</v>
      </c>
      <c r="G392">
        <v>1</v>
      </c>
      <c r="H392">
        <v>800</v>
      </c>
      <c r="I392">
        <v>800</v>
      </c>
      <c r="J392" t="s">
        <v>15</v>
      </c>
      <c r="K392">
        <v>2</v>
      </c>
    </row>
    <row r="393" spans="1:11" x14ac:dyDescent="0.3">
      <c r="A393">
        <v>1392</v>
      </c>
      <c r="B393" s="2">
        <v>46164.04208416833</v>
      </c>
      <c r="C393" t="s">
        <v>49</v>
      </c>
      <c r="D393" t="s">
        <v>17</v>
      </c>
      <c r="E393" t="s">
        <v>23</v>
      </c>
      <c r="F393" t="s">
        <v>24</v>
      </c>
      <c r="G393">
        <v>3</v>
      </c>
      <c r="H393">
        <v>14000</v>
      </c>
      <c r="I393">
        <v>42000</v>
      </c>
      <c r="J393" t="s">
        <v>31</v>
      </c>
      <c r="K393">
        <v>3</v>
      </c>
    </row>
    <row r="394" spans="1:11" x14ac:dyDescent="0.3">
      <c r="A394">
        <v>1393</v>
      </c>
      <c r="B394" s="2">
        <v>46164.402805611207</v>
      </c>
      <c r="C394" t="s">
        <v>32</v>
      </c>
      <c r="D394" t="s">
        <v>26</v>
      </c>
      <c r="E394" t="s">
        <v>13</v>
      </c>
      <c r="F394" t="s">
        <v>14</v>
      </c>
      <c r="G394">
        <v>2</v>
      </c>
      <c r="H394">
        <v>1500</v>
      </c>
      <c r="I394">
        <v>3000</v>
      </c>
      <c r="J394" t="s">
        <v>15</v>
      </c>
      <c r="K394">
        <v>4</v>
      </c>
    </row>
    <row r="395" spans="1:11" x14ac:dyDescent="0.3">
      <c r="A395">
        <v>1394</v>
      </c>
      <c r="B395" s="2">
        <v>46164.7635270541</v>
      </c>
      <c r="C395" t="s">
        <v>16</v>
      </c>
      <c r="D395" t="s">
        <v>44</v>
      </c>
      <c r="E395" t="s">
        <v>29</v>
      </c>
      <c r="F395" t="s">
        <v>19</v>
      </c>
      <c r="G395">
        <v>2</v>
      </c>
      <c r="H395">
        <v>12000</v>
      </c>
      <c r="I395">
        <v>24000</v>
      </c>
      <c r="J395" t="s">
        <v>20</v>
      </c>
      <c r="K395">
        <v>4</v>
      </c>
    </row>
    <row r="396" spans="1:11" x14ac:dyDescent="0.3">
      <c r="A396">
        <v>1395</v>
      </c>
      <c r="B396" s="2">
        <v>46165.124248496992</v>
      </c>
      <c r="C396" t="s">
        <v>42</v>
      </c>
      <c r="D396" t="s">
        <v>17</v>
      </c>
      <c r="E396" t="s">
        <v>43</v>
      </c>
      <c r="F396" t="s">
        <v>14</v>
      </c>
      <c r="G396">
        <v>1</v>
      </c>
      <c r="H396">
        <v>800</v>
      </c>
      <c r="I396">
        <v>800</v>
      </c>
      <c r="J396" t="s">
        <v>31</v>
      </c>
      <c r="K396">
        <v>3</v>
      </c>
    </row>
    <row r="397" spans="1:11" x14ac:dyDescent="0.3">
      <c r="A397">
        <v>1396</v>
      </c>
      <c r="B397" s="2">
        <v>46165.484969939869</v>
      </c>
      <c r="C397" t="s">
        <v>16</v>
      </c>
      <c r="D397" t="s">
        <v>38</v>
      </c>
      <c r="E397" t="s">
        <v>27</v>
      </c>
      <c r="F397" t="s">
        <v>19</v>
      </c>
      <c r="G397">
        <v>1</v>
      </c>
      <c r="H397">
        <v>55000</v>
      </c>
      <c r="I397">
        <v>55000</v>
      </c>
      <c r="J397" t="s">
        <v>45</v>
      </c>
      <c r="K397">
        <v>5</v>
      </c>
    </row>
    <row r="398" spans="1:11" x14ac:dyDescent="0.3">
      <c r="A398">
        <v>1397</v>
      </c>
      <c r="B398" s="2">
        <v>46165.845691382747</v>
      </c>
      <c r="C398" t="s">
        <v>11</v>
      </c>
      <c r="D398" t="s">
        <v>22</v>
      </c>
      <c r="E398" t="s">
        <v>13</v>
      </c>
      <c r="F398" t="s">
        <v>14</v>
      </c>
      <c r="G398">
        <v>4</v>
      </c>
      <c r="H398">
        <v>1500</v>
      </c>
      <c r="I398">
        <v>6000</v>
      </c>
      <c r="J398" t="s">
        <v>31</v>
      </c>
      <c r="K398">
        <v>4</v>
      </c>
    </row>
    <row r="399" spans="1:11" x14ac:dyDescent="0.3">
      <c r="A399">
        <v>1398</v>
      </c>
      <c r="B399" s="2">
        <v>46166.206412825653</v>
      </c>
      <c r="C399" t="s">
        <v>48</v>
      </c>
      <c r="D399" t="s">
        <v>26</v>
      </c>
      <c r="E399" t="s">
        <v>27</v>
      </c>
      <c r="F399" t="s">
        <v>19</v>
      </c>
      <c r="G399">
        <v>1</v>
      </c>
      <c r="H399">
        <v>55000</v>
      </c>
      <c r="I399">
        <v>55000</v>
      </c>
      <c r="J399" t="s">
        <v>31</v>
      </c>
      <c r="K399">
        <v>5</v>
      </c>
    </row>
    <row r="400" spans="1:11" x14ac:dyDescent="0.3">
      <c r="A400">
        <v>1399</v>
      </c>
      <c r="B400" s="2">
        <v>46166.567134268531</v>
      </c>
      <c r="C400" t="s">
        <v>34</v>
      </c>
      <c r="D400" t="s">
        <v>17</v>
      </c>
      <c r="E400" t="s">
        <v>29</v>
      </c>
      <c r="F400" t="s">
        <v>19</v>
      </c>
      <c r="G400">
        <v>2</v>
      </c>
      <c r="H400">
        <v>12000</v>
      </c>
      <c r="I400">
        <v>24000</v>
      </c>
      <c r="J400" t="s">
        <v>15</v>
      </c>
      <c r="K400">
        <v>4</v>
      </c>
    </row>
    <row r="401" spans="1:11" x14ac:dyDescent="0.3">
      <c r="A401">
        <v>1400</v>
      </c>
      <c r="B401" s="2">
        <v>46166.927855711408</v>
      </c>
      <c r="C401" t="s">
        <v>37</v>
      </c>
      <c r="D401" t="s">
        <v>12</v>
      </c>
      <c r="E401" t="s">
        <v>43</v>
      </c>
      <c r="F401" t="s">
        <v>14</v>
      </c>
      <c r="G401">
        <v>2</v>
      </c>
      <c r="H401">
        <v>800</v>
      </c>
      <c r="I401">
        <v>1600</v>
      </c>
      <c r="J401" t="s">
        <v>15</v>
      </c>
      <c r="K401">
        <v>4</v>
      </c>
    </row>
    <row r="402" spans="1:11" x14ac:dyDescent="0.3">
      <c r="A402">
        <v>1401</v>
      </c>
      <c r="B402" s="2">
        <v>46167.288577154308</v>
      </c>
      <c r="C402" t="s">
        <v>28</v>
      </c>
      <c r="D402" t="s">
        <v>17</v>
      </c>
      <c r="E402" t="s">
        <v>18</v>
      </c>
      <c r="F402" t="s">
        <v>19</v>
      </c>
      <c r="G402">
        <v>3</v>
      </c>
      <c r="H402">
        <v>22000</v>
      </c>
      <c r="I402">
        <v>66000</v>
      </c>
      <c r="J402" t="s">
        <v>15</v>
      </c>
      <c r="K402">
        <v>3</v>
      </c>
    </row>
    <row r="403" spans="1:11" x14ac:dyDescent="0.3">
      <c r="A403">
        <v>1402</v>
      </c>
      <c r="B403" s="2">
        <v>46167.649298597193</v>
      </c>
      <c r="C403" t="s">
        <v>51</v>
      </c>
      <c r="D403" t="s">
        <v>22</v>
      </c>
      <c r="E403" t="s">
        <v>43</v>
      </c>
      <c r="F403" t="s">
        <v>14</v>
      </c>
      <c r="G403">
        <v>3</v>
      </c>
      <c r="H403">
        <v>800</v>
      </c>
      <c r="I403">
        <v>2400</v>
      </c>
      <c r="J403" t="s">
        <v>15</v>
      </c>
      <c r="K403">
        <v>5</v>
      </c>
    </row>
    <row r="404" spans="1:11" x14ac:dyDescent="0.3">
      <c r="A404">
        <v>1403</v>
      </c>
      <c r="B404" s="2">
        <v>46168.01002004007</v>
      </c>
      <c r="C404" t="s">
        <v>46</v>
      </c>
      <c r="D404" t="s">
        <v>22</v>
      </c>
      <c r="E404" t="s">
        <v>27</v>
      </c>
      <c r="F404" t="s">
        <v>19</v>
      </c>
      <c r="G404">
        <v>1</v>
      </c>
      <c r="H404">
        <v>55000</v>
      </c>
      <c r="I404">
        <v>55000</v>
      </c>
      <c r="J404" t="s">
        <v>15</v>
      </c>
      <c r="K404">
        <v>4</v>
      </c>
    </row>
    <row r="405" spans="1:11" x14ac:dyDescent="0.3">
      <c r="A405">
        <v>1404</v>
      </c>
      <c r="B405" s="2">
        <v>46168.370741482962</v>
      </c>
      <c r="C405" t="s">
        <v>25</v>
      </c>
      <c r="D405" t="s">
        <v>38</v>
      </c>
      <c r="E405" t="s">
        <v>18</v>
      </c>
      <c r="F405" t="s">
        <v>19</v>
      </c>
      <c r="G405">
        <v>1</v>
      </c>
      <c r="H405">
        <v>22000</v>
      </c>
      <c r="I405">
        <v>22000</v>
      </c>
      <c r="J405" t="s">
        <v>31</v>
      </c>
      <c r="K405">
        <v>5</v>
      </c>
    </row>
    <row r="406" spans="1:11" x14ac:dyDescent="0.3">
      <c r="A406">
        <v>1405</v>
      </c>
      <c r="B406" s="2">
        <v>46168.731462925847</v>
      </c>
      <c r="C406" t="s">
        <v>49</v>
      </c>
      <c r="D406" t="s">
        <v>17</v>
      </c>
      <c r="E406" t="s">
        <v>13</v>
      </c>
      <c r="F406" t="s">
        <v>14</v>
      </c>
      <c r="G406">
        <v>4</v>
      </c>
      <c r="H406">
        <v>1000</v>
      </c>
      <c r="I406">
        <v>4000</v>
      </c>
      <c r="J406" t="s">
        <v>31</v>
      </c>
      <c r="K406">
        <v>5</v>
      </c>
    </row>
    <row r="407" spans="1:11" x14ac:dyDescent="0.3">
      <c r="A407">
        <v>1406</v>
      </c>
      <c r="B407" s="2">
        <v>46169.092184368717</v>
      </c>
      <c r="C407" t="s">
        <v>36</v>
      </c>
      <c r="D407" t="s">
        <v>44</v>
      </c>
      <c r="E407" t="s">
        <v>27</v>
      </c>
      <c r="F407" t="s">
        <v>19</v>
      </c>
      <c r="G407">
        <v>1</v>
      </c>
      <c r="H407">
        <v>55000</v>
      </c>
      <c r="I407">
        <v>55000</v>
      </c>
      <c r="J407" t="s">
        <v>20</v>
      </c>
      <c r="K407">
        <v>5</v>
      </c>
    </row>
    <row r="408" spans="1:11" x14ac:dyDescent="0.3">
      <c r="A408">
        <v>1407</v>
      </c>
      <c r="B408" s="2">
        <v>46169.452905811617</v>
      </c>
      <c r="C408" t="s">
        <v>30</v>
      </c>
      <c r="D408" t="s">
        <v>38</v>
      </c>
      <c r="E408" t="s">
        <v>23</v>
      </c>
      <c r="F408" t="s">
        <v>24</v>
      </c>
      <c r="G408">
        <v>2</v>
      </c>
      <c r="H408">
        <v>14000</v>
      </c>
      <c r="I408">
        <v>28000</v>
      </c>
      <c r="J408" t="s">
        <v>31</v>
      </c>
      <c r="K408">
        <v>5</v>
      </c>
    </row>
    <row r="409" spans="1:11" x14ac:dyDescent="0.3">
      <c r="A409">
        <v>1408</v>
      </c>
      <c r="B409" s="2">
        <v>46169.813627254502</v>
      </c>
      <c r="C409" t="s">
        <v>28</v>
      </c>
      <c r="D409" t="s">
        <v>38</v>
      </c>
      <c r="E409" t="s">
        <v>27</v>
      </c>
      <c r="F409" t="s">
        <v>19</v>
      </c>
      <c r="G409">
        <v>2</v>
      </c>
      <c r="H409">
        <v>55000</v>
      </c>
      <c r="I409">
        <v>110000</v>
      </c>
      <c r="J409" t="s">
        <v>31</v>
      </c>
      <c r="K409">
        <v>4</v>
      </c>
    </row>
    <row r="410" spans="1:11" x14ac:dyDescent="0.3">
      <c r="A410">
        <v>1409</v>
      </c>
      <c r="B410" s="2">
        <v>46170.174348697386</v>
      </c>
      <c r="C410" t="s">
        <v>28</v>
      </c>
      <c r="D410" t="s">
        <v>44</v>
      </c>
      <c r="E410" t="s">
        <v>13</v>
      </c>
      <c r="F410" t="s">
        <v>14</v>
      </c>
      <c r="G410">
        <v>1</v>
      </c>
      <c r="H410">
        <v>1000</v>
      </c>
      <c r="I410">
        <v>1000</v>
      </c>
      <c r="J410" t="s">
        <v>15</v>
      </c>
      <c r="K410">
        <v>5</v>
      </c>
    </row>
    <row r="411" spans="1:11" x14ac:dyDescent="0.3">
      <c r="A411">
        <v>1410</v>
      </c>
      <c r="B411" s="2">
        <v>46170.535070140279</v>
      </c>
      <c r="C411" t="s">
        <v>46</v>
      </c>
      <c r="D411" t="s">
        <v>26</v>
      </c>
      <c r="E411" t="s">
        <v>18</v>
      </c>
      <c r="F411" t="s">
        <v>19</v>
      </c>
      <c r="G411">
        <v>1</v>
      </c>
      <c r="H411">
        <v>22000</v>
      </c>
      <c r="I411">
        <v>22000</v>
      </c>
      <c r="J411" t="s">
        <v>20</v>
      </c>
      <c r="K411">
        <v>4</v>
      </c>
    </row>
    <row r="412" spans="1:11" x14ac:dyDescent="0.3">
      <c r="A412">
        <v>1411</v>
      </c>
      <c r="B412" s="2">
        <v>46170.895791583163</v>
      </c>
      <c r="C412" t="s">
        <v>37</v>
      </c>
      <c r="D412" t="s">
        <v>17</v>
      </c>
      <c r="E412" t="s">
        <v>39</v>
      </c>
      <c r="F412" t="s">
        <v>19</v>
      </c>
      <c r="G412">
        <v>2</v>
      </c>
      <c r="H412">
        <v>25000</v>
      </c>
      <c r="I412">
        <v>50000</v>
      </c>
      <c r="J412" t="s">
        <v>31</v>
      </c>
      <c r="K412">
        <v>4</v>
      </c>
    </row>
    <row r="413" spans="1:11" x14ac:dyDescent="0.3">
      <c r="A413">
        <v>1412</v>
      </c>
      <c r="B413" s="2">
        <v>46171.256513026041</v>
      </c>
      <c r="C413" t="s">
        <v>49</v>
      </c>
      <c r="D413" t="s">
        <v>17</v>
      </c>
      <c r="E413" t="s">
        <v>29</v>
      </c>
      <c r="F413" t="s">
        <v>19</v>
      </c>
      <c r="G413">
        <v>1</v>
      </c>
      <c r="H413">
        <v>12000</v>
      </c>
      <c r="I413">
        <v>12000</v>
      </c>
      <c r="J413" t="s">
        <v>15</v>
      </c>
      <c r="K413">
        <v>3</v>
      </c>
    </row>
    <row r="414" spans="1:11" x14ac:dyDescent="0.3">
      <c r="A414">
        <v>1413</v>
      </c>
      <c r="B414" s="2">
        <v>46171.617234468933</v>
      </c>
      <c r="C414" t="s">
        <v>21</v>
      </c>
      <c r="D414" t="s">
        <v>44</v>
      </c>
      <c r="E414" t="s">
        <v>39</v>
      </c>
      <c r="F414" t="s">
        <v>19</v>
      </c>
      <c r="G414">
        <v>3</v>
      </c>
      <c r="H414">
        <v>25000</v>
      </c>
      <c r="I414">
        <v>75000</v>
      </c>
      <c r="J414" t="s">
        <v>31</v>
      </c>
      <c r="K414">
        <v>4</v>
      </c>
    </row>
    <row r="415" spans="1:11" x14ac:dyDescent="0.3">
      <c r="A415">
        <v>1414</v>
      </c>
      <c r="B415" s="2">
        <v>46171.977955911818</v>
      </c>
      <c r="C415" t="s">
        <v>35</v>
      </c>
      <c r="D415" t="s">
        <v>12</v>
      </c>
      <c r="E415" t="s">
        <v>23</v>
      </c>
      <c r="F415" t="s">
        <v>24</v>
      </c>
      <c r="G415">
        <v>3</v>
      </c>
      <c r="H415">
        <v>14000</v>
      </c>
      <c r="I415">
        <v>42000</v>
      </c>
      <c r="J415" t="s">
        <v>15</v>
      </c>
      <c r="K415">
        <v>5</v>
      </c>
    </row>
    <row r="416" spans="1:11" x14ac:dyDescent="0.3">
      <c r="A416">
        <v>1415</v>
      </c>
      <c r="B416" s="2">
        <v>46172.338677354703</v>
      </c>
      <c r="C416" t="s">
        <v>46</v>
      </c>
      <c r="D416" t="s">
        <v>22</v>
      </c>
      <c r="E416" t="s">
        <v>13</v>
      </c>
      <c r="F416" t="s">
        <v>14</v>
      </c>
      <c r="G416">
        <v>4</v>
      </c>
      <c r="H416">
        <v>1500</v>
      </c>
      <c r="I416">
        <v>6000</v>
      </c>
      <c r="J416" t="s">
        <v>20</v>
      </c>
      <c r="K416">
        <v>4</v>
      </c>
    </row>
    <row r="417" spans="1:11" x14ac:dyDescent="0.3">
      <c r="A417">
        <v>1416</v>
      </c>
      <c r="B417" s="2">
        <v>46172.699398797587</v>
      </c>
      <c r="C417" t="s">
        <v>25</v>
      </c>
      <c r="D417" t="s">
        <v>22</v>
      </c>
      <c r="E417" t="s">
        <v>39</v>
      </c>
      <c r="F417" t="s">
        <v>19</v>
      </c>
      <c r="G417">
        <v>1</v>
      </c>
      <c r="H417">
        <v>25000</v>
      </c>
      <c r="I417">
        <v>25000</v>
      </c>
      <c r="J417" t="s">
        <v>31</v>
      </c>
      <c r="K417">
        <v>5</v>
      </c>
    </row>
    <row r="418" spans="1:11" x14ac:dyDescent="0.3">
      <c r="A418">
        <v>1417</v>
      </c>
      <c r="B418" s="2">
        <v>46173.060120240472</v>
      </c>
      <c r="C418" t="s">
        <v>28</v>
      </c>
      <c r="D418" t="s">
        <v>12</v>
      </c>
      <c r="E418" t="s">
        <v>27</v>
      </c>
      <c r="F418" t="s">
        <v>19</v>
      </c>
      <c r="G418">
        <v>1</v>
      </c>
      <c r="H418">
        <v>55000</v>
      </c>
      <c r="I418">
        <v>55000</v>
      </c>
      <c r="J418" t="s">
        <v>15</v>
      </c>
      <c r="K418">
        <v>4</v>
      </c>
    </row>
    <row r="419" spans="1:11" x14ac:dyDescent="0.3">
      <c r="A419">
        <v>1418</v>
      </c>
      <c r="B419" s="2">
        <v>46173.420841683357</v>
      </c>
      <c r="C419" t="s">
        <v>11</v>
      </c>
      <c r="D419" t="s">
        <v>17</v>
      </c>
      <c r="E419" t="s">
        <v>13</v>
      </c>
      <c r="F419" t="s">
        <v>14</v>
      </c>
      <c r="G419">
        <v>1</v>
      </c>
      <c r="H419">
        <v>1500</v>
      </c>
      <c r="I419">
        <v>1500</v>
      </c>
      <c r="J419" t="s">
        <v>31</v>
      </c>
      <c r="K419">
        <v>5</v>
      </c>
    </row>
    <row r="420" spans="1:11" x14ac:dyDescent="0.3">
      <c r="A420">
        <v>1419</v>
      </c>
      <c r="B420" s="2">
        <v>46173.781563126249</v>
      </c>
      <c r="C420" t="s">
        <v>32</v>
      </c>
      <c r="D420" t="s">
        <v>38</v>
      </c>
      <c r="E420" t="s">
        <v>29</v>
      </c>
      <c r="F420" t="s">
        <v>19</v>
      </c>
      <c r="G420">
        <v>2</v>
      </c>
      <c r="H420">
        <v>12000</v>
      </c>
      <c r="I420">
        <v>24000</v>
      </c>
      <c r="J420" t="s">
        <v>15</v>
      </c>
      <c r="K420">
        <v>5</v>
      </c>
    </row>
    <row r="421" spans="1:11" x14ac:dyDescent="0.3">
      <c r="A421">
        <v>1420</v>
      </c>
      <c r="B421" s="2">
        <v>46174.142284569127</v>
      </c>
      <c r="C421" t="s">
        <v>32</v>
      </c>
      <c r="D421" t="s">
        <v>38</v>
      </c>
      <c r="E421" t="s">
        <v>39</v>
      </c>
      <c r="F421" t="s">
        <v>19</v>
      </c>
      <c r="G421">
        <v>3</v>
      </c>
      <c r="H421">
        <v>25000</v>
      </c>
      <c r="I421">
        <v>75000</v>
      </c>
      <c r="J421" t="s">
        <v>31</v>
      </c>
      <c r="K421">
        <v>5</v>
      </c>
    </row>
    <row r="422" spans="1:11" x14ac:dyDescent="0.3">
      <c r="A422">
        <v>1421</v>
      </c>
      <c r="B422" s="2">
        <v>46174.503006012012</v>
      </c>
      <c r="C422" t="s">
        <v>21</v>
      </c>
      <c r="D422" t="s">
        <v>12</v>
      </c>
      <c r="E422" t="s">
        <v>29</v>
      </c>
      <c r="F422" t="s">
        <v>19</v>
      </c>
      <c r="G422">
        <v>1</v>
      </c>
      <c r="H422">
        <v>11500</v>
      </c>
      <c r="I422">
        <v>11500</v>
      </c>
      <c r="J422" t="s">
        <v>31</v>
      </c>
      <c r="K422">
        <v>5</v>
      </c>
    </row>
    <row r="423" spans="1:11" x14ac:dyDescent="0.3">
      <c r="A423">
        <v>1422</v>
      </c>
      <c r="B423" s="2">
        <v>46174.863727454911</v>
      </c>
      <c r="C423" t="s">
        <v>46</v>
      </c>
      <c r="D423" t="s">
        <v>17</v>
      </c>
      <c r="E423" t="s">
        <v>43</v>
      </c>
      <c r="F423" t="s">
        <v>14</v>
      </c>
      <c r="G423">
        <v>2</v>
      </c>
      <c r="H423">
        <v>800</v>
      </c>
      <c r="I423">
        <v>1600</v>
      </c>
      <c r="J423" t="s">
        <v>45</v>
      </c>
      <c r="K423">
        <v>4</v>
      </c>
    </row>
    <row r="424" spans="1:11" x14ac:dyDescent="0.3">
      <c r="A424">
        <v>1423</v>
      </c>
      <c r="B424" s="2">
        <v>46175.224448897789</v>
      </c>
      <c r="C424" t="s">
        <v>42</v>
      </c>
      <c r="D424" t="s">
        <v>38</v>
      </c>
      <c r="E424" t="s">
        <v>39</v>
      </c>
      <c r="F424" t="s">
        <v>19</v>
      </c>
      <c r="G424">
        <v>2</v>
      </c>
      <c r="H424">
        <v>25000</v>
      </c>
      <c r="I424">
        <v>50000</v>
      </c>
      <c r="J424" t="s">
        <v>31</v>
      </c>
      <c r="K424">
        <v>3</v>
      </c>
    </row>
    <row r="425" spans="1:11" x14ac:dyDescent="0.3">
      <c r="A425">
        <v>1424</v>
      </c>
      <c r="B425" s="2">
        <v>46175.585170340673</v>
      </c>
      <c r="C425" t="s">
        <v>46</v>
      </c>
      <c r="D425" t="s">
        <v>38</v>
      </c>
      <c r="E425" t="s">
        <v>18</v>
      </c>
      <c r="F425" t="s">
        <v>19</v>
      </c>
      <c r="G425">
        <v>2</v>
      </c>
      <c r="H425">
        <v>22000</v>
      </c>
      <c r="I425">
        <v>44000</v>
      </c>
      <c r="J425" t="s">
        <v>45</v>
      </c>
      <c r="K425">
        <v>5</v>
      </c>
    </row>
    <row r="426" spans="1:11" x14ac:dyDescent="0.3">
      <c r="A426">
        <v>1425</v>
      </c>
      <c r="B426" s="2">
        <v>46175.945891783573</v>
      </c>
      <c r="C426" t="s">
        <v>28</v>
      </c>
      <c r="D426" t="s">
        <v>26</v>
      </c>
      <c r="E426" t="s">
        <v>13</v>
      </c>
      <c r="F426" t="s">
        <v>14</v>
      </c>
      <c r="G426">
        <v>2</v>
      </c>
      <c r="H426">
        <v>1500</v>
      </c>
      <c r="I426">
        <v>3000</v>
      </c>
      <c r="J426" t="s">
        <v>15</v>
      </c>
      <c r="K426">
        <v>3</v>
      </c>
    </row>
    <row r="427" spans="1:11" x14ac:dyDescent="0.3">
      <c r="A427">
        <v>1426</v>
      </c>
      <c r="B427" s="2">
        <v>46176.30661322645</v>
      </c>
      <c r="C427" t="s">
        <v>49</v>
      </c>
      <c r="D427" t="s">
        <v>12</v>
      </c>
      <c r="E427" t="s">
        <v>27</v>
      </c>
      <c r="F427" t="s">
        <v>19</v>
      </c>
      <c r="G427">
        <v>2</v>
      </c>
      <c r="H427">
        <v>55000</v>
      </c>
      <c r="I427">
        <v>110000</v>
      </c>
      <c r="J427" t="s">
        <v>15</v>
      </c>
      <c r="K427">
        <v>5</v>
      </c>
    </row>
    <row r="428" spans="1:11" x14ac:dyDescent="0.3">
      <c r="A428">
        <v>1427</v>
      </c>
      <c r="B428" s="2">
        <v>46176.667334669328</v>
      </c>
      <c r="C428" t="s">
        <v>51</v>
      </c>
      <c r="D428" t="s">
        <v>26</v>
      </c>
      <c r="E428" t="s">
        <v>13</v>
      </c>
      <c r="F428" t="s">
        <v>14</v>
      </c>
      <c r="G428">
        <v>4</v>
      </c>
      <c r="H428">
        <v>2000</v>
      </c>
      <c r="I428">
        <v>8000</v>
      </c>
      <c r="J428" t="s">
        <v>20</v>
      </c>
      <c r="K428">
        <v>5</v>
      </c>
    </row>
    <row r="429" spans="1:11" x14ac:dyDescent="0.3">
      <c r="A429">
        <v>1428</v>
      </c>
      <c r="B429" s="2">
        <v>46177.02805611222</v>
      </c>
      <c r="C429" t="s">
        <v>41</v>
      </c>
      <c r="D429" t="s">
        <v>26</v>
      </c>
      <c r="E429" t="s">
        <v>29</v>
      </c>
      <c r="F429" t="s">
        <v>19</v>
      </c>
      <c r="G429">
        <v>1</v>
      </c>
      <c r="H429">
        <v>12000</v>
      </c>
      <c r="I429">
        <v>12000</v>
      </c>
      <c r="J429" t="s">
        <v>20</v>
      </c>
      <c r="K429">
        <v>4</v>
      </c>
    </row>
    <row r="430" spans="1:11" x14ac:dyDescent="0.3">
      <c r="A430">
        <v>1429</v>
      </c>
      <c r="B430" s="2">
        <v>46177.388777555097</v>
      </c>
      <c r="C430" t="s">
        <v>46</v>
      </c>
      <c r="D430" t="s">
        <v>44</v>
      </c>
      <c r="E430" t="s">
        <v>18</v>
      </c>
      <c r="F430" t="s">
        <v>19</v>
      </c>
      <c r="G430">
        <v>2</v>
      </c>
      <c r="H430">
        <v>22000</v>
      </c>
      <c r="I430">
        <v>44000</v>
      </c>
      <c r="J430" t="s">
        <v>31</v>
      </c>
      <c r="K430">
        <v>4</v>
      </c>
    </row>
    <row r="431" spans="1:11" x14ac:dyDescent="0.3">
      <c r="A431">
        <v>1430</v>
      </c>
      <c r="B431" s="2">
        <v>46177.74949899799</v>
      </c>
      <c r="C431" t="s">
        <v>50</v>
      </c>
      <c r="D431" t="s">
        <v>38</v>
      </c>
      <c r="E431" t="s">
        <v>29</v>
      </c>
      <c r="F431" t="s">
        <v>19</v>
      </c>
      <c r="G431">
        <v>1</v>
      </c>
      <c r="H431">
        <v>12000</v>
      </c>
      <c r="I431">
        <v>12000</v>
      </c>
      <c r="J431" t="s">
        <v>20</v>
      </c>
      <c r="K431">
        <v>5</v>
      </c>
    </row>
    <row r="432" spans="1:11" x14ac:dyDescent="0.3">
      <c r="A432">
        <v>1431</v>
      </c>
      <c r="B432" s="2">
        <v>46178.110220440882</v>
      </c>
      <c r="C432" t="s">
        <v>51</v>
      </c>
      <c r="D432" t="s">
        <v>26</v>
      </c>
      <c r="E432" t="s">
        <v>43</v>
      </c>
      <c r="F432" t="s">
        <v>14</v>
      </c>
      <c r="G432">
        <v>1</v>
      </c>
      <c r="H432">
        <v>800</v>
      </c>
      <c r="I432">
        <v>800</v>
      </c>
      <c r="J432" t="s">
        <v>15</v>
      </c>
      <c r="K432">
        <v>2</v>
      </c>
    </row>
    <row r="433" spans="1:11" x14ac:dyDescent="0.3">
      <c r="A433">
        <v>1432</v>
      </c>
      <c r="B433" s="2">
        <v>46178.470941883759</v>
      </c>
      <c r="C433" t="s">
        <v>48</v>
      </c>
      <c r="D433" t="s">
        <v>38</v>
      </c>
      <c r="E433" t="s">
        <v>18</v>
      </c>
      <c r="F433" t="s">
        <v>19</v>
      </c>
      <c r="G433">
        <v>2</v>
      </c>
      <c r="H433">
        <v>22000</v>
      </c>
      <c r="I433">
        <v>44000</v>
      </c>
      <c r="J433" t="s">
        <v>15</v>
      </c>
      <c r="K433">
        <v>5</v>
      </c>
    </row>
    <row r="434" spans="1:11" x14ac:dyDescent="0.3">
      <c r="A434">
        <v>1433</v>
      </c>
      <c r="B434" s="2">
        <v>46178.831663326637</v>
      </c>
      <c r="C434" t="s">
        <v>32</v>
      </c>
      <c r="D434" t="s">
        <v>26</v>
      </c>
      <c r="E434" t="s">
        <v>23</v>
      </c>
      <c r="F434" t="s">
        <v>24</v>
      </c>
      <c r="G434">
        <v>1</v>
      </c>
      <c r="H434">
        <v>14000</v>
      </c>
      <c r="I434">
        <v>14000</v>
      </c>
      <c r="J434" t="s">
        <v>31</v>
      </c>
      <c r="K434">
        <v>5</v>
      </c>
    </row>
    <row r="435" spans="1:11" x14ac:dyDescent="0.3">
      <c r="A435">
        <v>1434</v>
      </c>
      <c r="B435" s="2">
        <v>46179.192384769543</v>
      </c>
      <c r="C435" t="s">
        <v>21</v>
      </c>
      <c r="D435" t="s">
        <v>22</v>
      </c>
      <c r="E435" t="s">
        <v>43</v>
      </c>
      <c r="F435" t="s">
        <v>14</v>
      </c>
      <c r="G435">
        <v>2</v>
      </c>
      <c r="H435">
        <v>800</v>
      </c>
      <c r="I435">
        <v>1600</v>
      </c>
      <c r="J435" t="s">
        <v>45</v>
      </c>
      <c r="K435">
        <v>5</v>
      </c>
    </row>
    <row r="436" spans="1:11" x14ac:dyDescent="0.3">
      <c r="A436">
        <v>1435</v>
      </c>
      <c r="B436" s="2">
        <v>46179.553106212421</v>
      </c>
      <c r="C436" t="s">
        <v>42</v>
      </c>
      <c r="D436" t="s">
        <v>17</v>
      </c>
      <c r="E436" t="s">
        <v>13</v>
      </c>
      <c r="F436" t="s">
        <v>14</v>
      </c>
      <c r="G436">
        <v>2</v>
      </c>
      <c r="H436">
        <v>1500</v>
      </c>
      <c r="I436">
        <v>3000</v>
      </c>
      <c r="J436" t="s">
        <v>15</v>
      </c>
      <c r="K436">
        <v>4</v>
      </c>
    </row>
    <row r="437" spans="1:11" x14ac:dyDescent="0.3">
      <c r="A437">
        <v>1436</v>
      </c>
      <c r="B437" s="2">
        <v>46179.913827655299</v>
      </c>
      <c r="C437" t="s">
        <v>41</v>
      </c>
      <c r="D437" t="s">
        <v>17</v>
      </c>
      <c r="E437" t="s">
        <v>18</v>
      </c>
      <c r="F437" t="s">
        <v>19</v>
      </c>
      <c r="G437">
        <v>1</v>
      </c>
      <c r="H437">
        <v>22000</v>
      </c>
      <c r="I437">
        <v>22000</v>
      </c>
      <c r="J437" t="s">
        <v>31</v>
      </c>
      <c r="K437">
        <v>3</v>
      </c>
    </row>
    <row r="438" spans="1:11" x14ac:dyDescent="0.3">
      <c r="A438">
        <v>1437</v>
      </c>
      <c r="B438" s="2">
        <v>46180.274549098198</v>
      </c>
      <c r="C438" t="s">
        <v>47</v>
      </c>
      <c r="D438" t="s">
        <v>22</v>
      </c>
      <c r="E438" t="s">
        <v>43</v>
      </c>
      <c r="F438" t="s">
        <v>14</v>
      </c>
      <c r="G438">
        <v>1</v>
      </c>
      <c r="H438">
        <v>1300</v>
      </c>
      <c r="I438">
        <v>1300</v>
      </c>
      <c r="J438" t="s">
        <v>15</v>
      </c>
      <c r="K438">
        <v>5</v>
      </c>
    </row>
    <row r="439" spans="1:11" x14ac:dyDescent="0.3">
      <c r="A439">
        <v>1438</v>
      </c>
      <c r="B439" s="2">
        <v>46180.635270541083</v>
      </c>
      <c r="C439" t="s">
        <v>41</v>
      </c>
      <c r="D439" t="s">
        <v>38</v>
      </c>
      <c r="E439" t="s">
        <v>13</v>
      </c>
      <c r="F439" t="s">
        <v>14</v>
      </c>
      <c r="G439">
        <v>1</v>
      </c>
      <c r="H439">
        <v>1500</v>
      </c>
      <c r="I439">
        <v>1500</v>
      </c>
      <c r="J439" t="s">
        <v>20</v>
      </c>
      <c r="K439">
        <v>5</v>
      </c>
    </row>
    <row r="440" spans="1:11" x14ac:dyDescent="0.3">
      <c r="A440">
        <v>1439</v>
      </c>
      <c r="B440" s="2">
        <v>46180.99599198396</v>
      </c>
      <c r="C440" t="s">
        <v>30</v>
      </c>
      <c r="D440" t="s">
        <v>44</v>
      </c>
      <c r="E440" t="s">
        <v>13</v>
      </c>
      <c r="F440" t="s">
        <v>14</v>
      </c>
      <c r="G440">
        <v>3</v>
      </c>
      <c r="H440">
        <v>1500</v>
      </c>
      <c r="I440">
        <v>4500</v>
      </c>
      <c r="J440" t="s">
        <v>15</v>
      </c>
      <c r="K440">
        <v>5</v>
      </c>
    </row>
    <row r="441" spans="1:11" x14ac:dyDescent="0.3">
      <c r="A441">
        <v>1440</v>
      </c>
      <c r="B441" s="2">
        <v>46181.356713426852</v>
      </c>
      <c r="C441" t="s">
        <v>30</v>
      </c>
      <c r="D441" t="s">
        <v>12</v>
      </c>
      <c r="E441" t="s">
        <v>43</v>
      </c>
      <c r="F441" t="s">
        <v>14</v>
      </c>
      <c r="G441">
        <v>1</v>
      </c>
      <c r="H441">
        <v>1300</v>
      </c>
      <c r="I441">
        <v>1300</v>
      </c>
      <c r="J441" t="s">
        <v>45</v>
      </c>
      <c r="K441">
        <v>5</v>
      </c>
    </row>
    <row r="442" spans="1:11" x14ac:dyDescent="0.3">
      <c r="A442">
        <v>1441</v>
      </c>
      <c r="B442" s="2">
        <v>46181.717434869737</v>
      </c>
      <c r="C442" t="s">
        <v>36</v>
      </c>
      <c r="D442" t="s">
        <v>22</v>
      </c>
      <c r="E442" t="s">
        <v>43</v>
      </c>
      <c r="F442" t="s">
        <v>14</v>
      </c>
      <c r="G442">
        <v>4</v>
      </c>
      <c r="H442">
        <v>800</v>
      </c>
      <c r="I442">
        <v>3200</v>
      </c>
      <c r="J442" t="s">
        <v>20</v>
      </c>
      <c r="K442">
        <v>5</v>
      </c>
    </row>
    <row r="443" spans="1:11" x14ac:dyDescent="0.3">
      <c r="A443">
        <v>1442</v>
      </c>
      <c r="B443" s="2">
        <v>46182.078156312607</v>
      </c>
      <c r="C443" t="s">
        <v>47</v>
      </c>
      <c r="D443" t="s">
        <v>38</v>
      </c>
      <c r="E443" t="s">
        <v>33</v>
      </c>
      <c r="F443" t="s">
        <v>14</v>
      </c>
      <c r="G443">
        <v>2</v>
      </c>
      <c r="H443">
        <v>2500</v>
      </c>
      <c r="I443">
        <v>5000</v>
      </c>
      <c r="J443" t="s">
        <v>15</v>
      </c>
      <c r="K443">
        <v>4</v>
      </c>
    </row>
    <row r="444" spans="1:11" x14ac:dyDescent="0.3">
      <c r="A444">
        <v>1443</v>
      </c>
      <c r="B444" s="2">
        <v>46182.438877755507</v>
      </c>
      <c r="C444" t="s">
        <v>35</v>
      </c>
      <c r="D444" t="s">
        <v>17</v>
      </c>
      <c r="E444" t="s">
        <v>23</v>
      </c>
      <c r="F444" t="s">
        <v>24</v>
      </c>
      <c r="G444">
        <v>3</v>
      </c>
      <c r="H444">
        <v>14000</v>
      </c>
      <c r="I444">
        <v>42000</v>
      </c>
      <c r="J444" t="s">
        <v>45</v>
      </c>
      <c r="K444">
        <v>5</v>
      </c>
    </row>
    <row r="445" spans="1:11" x14ac:dyDescent="0.3">
      <c r="A445">
        <v>1444</v>
      </c>
      <c r="B445" s="2">
        <v>46182.799599198392</v>
      </c>
      <c r="C445" t="s">
        <v>50</v>
      </c>
      <c r="D445" t="s">
        <v>38</v>
      </c>
      <c r="E445" t="s">
        <v>29</v>
      </c>
      <c r="F445" t="s">
        <v>19</v>
      </c>
      <c r="G445">
        <v>1</v>
      </c>
      <c r="H445">
        <v>12000</v>
      </c>
      <c r="I445">
        <v>12000</v>
      </c>
      <c r="J445" t="s">
        <v>31</v>
      </c>
      <c r="K445">
        <v>3</v>
      </c>
    </row>
    <row r="446" spans="1:11" x14ac:dyDescent="0.3">
      <c r="A446">
        <v>1445</v>
      </c>
      <c r="B446" s="2">
        <v>46183.160320641276</v>
      </c>
      <c r="C446" t="s">
        <v>41</v>
      </c>
      <c r="D446" t="s">
        <v>44</v>
      </c>
      <c r="E446" t="s">
        <v>29</v>
      </c>
      <c r="F446" t="s">
        <v>19</v>
      </c>
      <c r="G446">
        <v>1</v>
      </c>
      <c r="H446">
        <v>12000</v>
      </c>
      <c r="I446">
        <v>12000</v>
      </c>
      <c r="J446" t="s">
        <v>31</v>
      </c>
      <c r="K446">
        <v>3</v>
      </c>
    </row>
    <row r="447" spans="1:11" x14ac:dyDescent="0.3">
      <c r="A447">
        <v>1446</v>
      </c>
      <c r="B447" s="2">
        <v>46183.521042084169</v>
      </c>
      <c r="C447" t="s">
        <v>42</v>
      </c>
      <c r="D447" t="s">
        <v>17</v>
      </c>
      <c r="E447" t="s">
        <v>18</v>
      </c>
      <c r="F447" t="s">
        <v>19</v>
      </c>
      <c r="G447">
        <v>1</v>
      </c>
      <c r="H447">
        <v>22000</v>
      </c>
      <c r="I447">
        <v>22000</v>
      </c>
      <c r="J447" t="s">
        <v>15</v>
      </c>
      <c r="K447">
        <v>5</v>
      </c>
    </row>
    <row r="448" spans="1:11" x14ac:dyDescent="0.3">
      <c r="A448">
        <v>1447</v>
      </c>
      <c r="B448" s="2">
        <v>46183.881763527053</v>
      </c>
      <c r="C448" t="s">
        <v>40</v>
      </c>
      <c r="D448" t="s">
        <v>26</v>
      </c>
      <c r="E448" t="s">
        <v>29</v>
      </c>
      <c r="F448" t="s">
        <v>19</v>
      </c>
      <c r="G448">
        <v>1</v>
      </c>
      <c r="H448">
        <v>12000</v>
      </c>
      <c r="I448">
        <v>12000</v>
      </c>
      <c r="J448" t="s">
        <v>31</v>
      </c>
      <c r="K448">
        <v>4</v>
      </c>
    </row>
    <row r="449" spans="1:11" x14ac:dyDescent="0.3">
      <c r="A449">
        <v>1448</v>
      </c>
      <c r="B449" s="2">
        <v>46184.242484969931</v>
      </c>
      <c r="C449" t="s">
        <v>42</v>
      </c>
      <c r="D449" t="s">
        <v>26</v>
      </c>
      <c r="E449" t="s">
        <v>29</v>
      </c>
      <c r="F449" t="s">
        <v>19</v>
      </c>
      <c r="G449">
        <v>1</v>
      </c>
      <c r="H449">
        <v>12000</v>
      </c>
      <c r="I449">
        <v>12000</v>
      </c>
      <c r="J449" t="s">
        <v>15</v>
      </c>
      <c r="K449">
        <v>4</v>
      </c>
    </row>
    <row r="450" spans="1:11" x14ac:dyDescent="0.3">
      <c r="A450">
        <v>1449</v>
      </c>
      <c r="B450" s="2">
        <v>46184.603206412823</v>
      </c>
      <c r="C450" t="s">
        <v>21</v>
      </c>
      <c r="D450" t="s">
        <v>26</v>
      </c>
      <c r="E450" t="s">
        <v>18</v>
      </c>
      <c r="F450" t="s">
        <v>19</v>
      </c>
      <c r="G450">
        <v>1</v>
      </c>
      <c r="H450">
        <v>22000</v>
      </c>
      <c r="I450">
        <v>22000</v>
      </c>
      <c r="J450" t="s">
        <v>31</v>
      </c>
      <c r="K450">
        <v>5</v>
      </c>
    </row>
    <row r="451" spans="1:11" x14ac:dyDescent="0.3">
      <c r="A451">
        <v>1450</v>
      </c>
      <c r="B451" s="2">
        <v>46184.963927855708</v>
      </c>
      <c r="C451" t="s">
        <v>40</v>
      </c>
      <c r="D451" t="s">
        <v>22</v>
      </c>
      <c r="E451" t="s">
        <v>13</v>
      </c>
      <c r="F451" t="s">
        <v>14</v>
      </c>
      <c r="G451">
        <v>2</v>
      </c>
      <c r="H451">
        <v>1500</v>
      </c>
      <c r="I451">
        <v>3000</v>
      </c>
      <c r="J451" t="s">
        <v>15</v>
      </c>
      <c r="K451">
        <v>4</v>
      </c>
    </row>
    <row r="452" spans="1:11" x14ac:dyDescent="0.3">
      <c r="A452">
        <v>1451</v>
      </c>
      <c r="B452" s="2">
        <v>46185.324649298593</v>
      </c>
      <c r="C452" t="s">
        <v>32</v>
      </c>
      <c r="D452" t="s">
        <v>26</v>
      </c>
      <c r="E452" t="s">
        <v>27</v>
      </c>
      <c r="F452" t="s">
        <v>19</v>
      </c>
      <c r="G452">
        <v>1</v>
      </c>
      <c r="H452">
        <v>55500</v>
      </c>
      <c r="I452">
        <v>55500</v>
      </c>
      <c r="J452" t="s">
        <v>15</v>
      </c>
      <c r="K452">
        <v>5</v>
      </c>
    </row>
    <row r="453" spans="1:11" x14ac:dyDescent="0.3">
      <c r="A453">
        <v>1452</v>
      </c>
      <c r="B453" s="2">
        <v>46185.685370741478</v>
      </c>
      <c r="C453" t="s">
        <v>42</v>
      </c>
      <c r="D453" t="s">
        <v>38</v>
      </c>
      <c r="E453" t="s">
        <v>39</v>
      </c>
      <c r="F453" t="s">
        <v>19</v>
      </c>
      <c r="G453">
        <v>1</v>
      </c>
      <c r="H453">
        <v>25000</v>
      </c>
      <c r="I453">
        <v>25000</v>
      </c>
      <c r="J453" t="s">
        <v>15</v>
      </c>
      <c r="K453">
        <v>4</v>
      </c>
    </row>
    <row r="454" spans="1:11" x14ac:dyDescent="0.3">
      <c r="A454">
        <v>1453</v>
      </c>
      <c r="B454" s="2">
        <v>46186.046092184362</v>
      </c>
      <c r="C454" t="s">
        <v>48</v>
      </c>
      <c r="D454" t="s">
        <v>17</v>
      </c>
      <c r="E454" t="s">
        <v>43</v>
      </c>
      <c r="F454" t="s">
        <v>14</v>
      </c>
      <c r="G454">
        <v>2</v>
      </c>
      <c r="H454">
        <v>800</v>
      </c>
      <c r="I454">
        <v>1600</v>
      </c>
      <c r="J454" t="s">
        <v>20</v>
      </c>
      <c r="K454">
        <v>5</v>
      </c>
    </row>
    <row r="455" spans="1:11" x14ac:dyDescent="0.3">
      <c r="A455">
        <v>1454</v>
      </c>
      <c r="B455" s="2">
        <v>46186.406813627247</v>
      </c>
      <c r="C455" t="s">
        <v>47</v>
      </c>
      <c r="D455" t="s">
        <v>17</v>
      </c>
      <c r="E455" t="s">
        <v>27</v>
      </c>
      <c r="F455" t="s">
        <v>19</v>
      </c>
      <c r="G455">
        <v>2</v>
      </c>
      <c r="H455">
        <v>55000</v>
      </c>
      <c r="I455">
        <v>110000</v>
      </c>
      <c r="J455" t="s">
        <v>20</v>
      </c>
      <c r="K455">
        <v>4</v>
      </c>
    </row>
    <row r="456" spans="1:11" x14ac:dyDescent="0.3">
      <c r="A456">
        <v>1455</v>
      </c>
      <c r="B456" s="2">
        <v>46186.767535070139</v>
      </c>
      <c r="C456" t="s">
        <v>51</v>
      </c>
      <c r="D456" t="s">
        <v>22</v>
      </c>
      <c r="E456" t="s">
        <v>27</v>
      </c>
      <c r="F456" t="s">
        <v>19</v>
      </c>
      <c r="G456">
        <v>1</v>
      </c>
      <c r="H456">
        <v>54500</v>
      </c>
      <c r="I456">
        <v>54500</v>
      </c>
      <c r="J456" t="s">
        <v>15</v>
      </c>
      <c r="K456">
        <v>3</v>
      </c>
    </row>
    <row r="457" spans="1:11" x14ac:dyDescent="0.3">
      <c r="A457">
        <v>1456</v>
      </c>
      <c r="B457" s="2">
        <v>46187.128256513017</v>
      </c>
      <c r="C457" t="s">
        <v>28</v>
      </c>
      <c r="D457" t="s">
        <v>44</v>
      </c>
      <c r="E457" t="s">
        <v>18</v>
      </c>
      <c r="F457" t="s">
        <v>19</v>
      </c>
      <c r="G457">
        <v>1</v>
      </c>
      <c r="H457">
        <v>21500</v>
      </c>
      <c r="I457">
        <v>21500</v>
      </c>
      <c r="J457" t="s">
        <v>15</v>
      </c>
      <c r="K457">
        <v>4</v>
      </c>
    </row>
    <row r="458" spans="1:11" x14ac:dyDescent="0.3">
      <c r="A458">
        <v>1457</v>
      </c>
      <c r="B458" s="2">
        <v>46187.488977955902</v>
      </c>
      <c r="C458" t="s">
        <v>48</v>
      </c>
      <c r="D458" t="s">
        <v>17</v>
      </c>
      <c r="E458" t="s">
        <v>39</v>
      </c>
      <c r="F458" t="s">
        <v>19</v>
      </c>
      <c r="G458">
        <v>1</v>
      </c>
      <c r="H458">
        <v>25000</v>
      </c>
      <c r="I458">
        <v>25000</v>
      </c>
      <c r="J458" t="s">
        <v>31</v>
      </c>
      <c r="K458">
        <v>4</v>
      </c>
    </row>
    <row r="459" spans="1:11" x14ac:dyDescent="0.3">
      <c r="A459">
        <v>1458</v>
      </c>
      <c r="B459" s="2">
        <v>46187.849699398786</v>
      </c>
      <c r="C459" t="s">
        <v>32</v>
      </c>
      <c r="D459" t="s">
        <v>17</v>
      </c>
      <c r="E459" t="s">
        <v>29</v>
      </c>
      <c r="F459" t="s">
        <v>19</v>
      </c>
      <c r="G459">
        <v>1</v>
      </c>
      <c r="H459">
        <v>12000</v>
      </c>
      <c r="I459">
        <v>12000</v>
      </c>
      <c r="J459" t="s">
        <v>15</v>
      </c>
      <c r="K459">
        <v>2</v>
      </c>
    </row>
    <row r="460" spans="1:11" x14ac:dyDescent="0.3">
      <c r="A460">
        <v>1459</v>
      </c>
      <c r="B460" s="2">
        <v>46188.210420841679</v>
      </c>
      <c r="C460" t="s">
        <v>35</v>
      </c>
      <c r="D460" t="s">
        <v>12</v>
      </c>
      <c r="E460" t="s">
        <v>18</v>
      </c>
      <c r="F460" t="s">
        <v>19</v>
      </c>
      <c r="G460">
        <v>1</v>
      </c>
      <c r="H460">
        <v>22000</v>
      </c>
      <c r="I460">
        <v>22000</v>
      </c>
      <c r="J460" t="s">
        <v>31</v>
      </c>
      <c r="K460">
        <v>4</v>
      </c>
    </row>
    <row r="461" spans="1:11" x14ac:dyDescent="0.3">
      <c r="A461">
        <v>1460</v>
      </c>
      <c r="B461" s="2">
        <v>46188.571142284563</v>
      </c>
      <c r="C461" t="s">
        <v>48</v>
      </c>
      <c r="D461" t="s">
        <v>38</v>
      </c>
      <c r="E461" t="s">
        <v>39</v>
      </c>
      <c r="F461" t="s">
        <v>19</v>
      </c>
      <c r="G461">
        <v>3</v>
      </c>
      <c r="H461">
        <v>25000</v>
      </c>
      <c r="I461">
        <v>75000</v>
      </c>
      <c r="J461" t="s">
        <v>31</v>
      </c>
      <c r="K461">
        <v>4</v>
      </c>
    </row>
    <row r="462" spans="1:11" x14ac:dyDescent="0.3">
      <c r="A462">
        <v>1461</v>
      </c>
      <c r="B462" s="2">
        <v>46188.931863727463</v>
      </c>
      <c r="C462" t="s">
        <v>41</v>
      </c>
      <c r="D462" t="s">
        <v>38</v>
      </c>
      <c r="E462" t="s">
        <v>33</v>
      </c>
      <c r="F462" t="s">
        <v>14</v>
      </c>
      <c r="G462">
        <v>1</v>
      </c>
      <c r="H462">
        <v>3000</v>
      </c>
      <c r="I462">
        <v>3000</v>
      </c>
      <c r="J462" t="s">
        <v>15</v>
      </c>
      <c r="K462">
        <v>3</v>
      </c>
    </row>
    <row r="463" spans="1:11" x14ac:dyDescent="0.3">
      <c r="A463">
        <v>1462</v>
      </c>
      <c r="B463" s="2">
        <v>46189.292585170333</v>
      </c>
      <c r="C463" t="s">
        <v>16</v>
      </c>
      <c r="D463" t="s">
        <v>26</v>
      </c>
      <c r="E463" t="s">
        <v>18</v>
      </c>
      <c r="F463" t="s">
        <v>19</v>
      </c>
      <c r="G463">
        <v>1</v>
      </c>
      <c r="H463">
        <v>22000</v>
      </c>
      <c r="I463">
        <v>22000</v>
      </c>
      <c r="J463" t="s">
        <v>31</v>
      </c>
      <c r="K463">
        <v>5</v>
      </c>
    </row>
    <row r="464" spans="1:11" x14ac:dyDescent="0.3">
      <c r="A464">
        <v>1463</v>
      </c>
      <c r="B464" s="2">
        <v>46189.653306613218</v>
      </c>
      <c r="C464" t="s">
        <v>50</v>
      </c>
      <c r="D464" t="s">
        <v>38</v>
      </c>
      <c r="E464" t="s">
        <v>43</v>
      </c>
      <c r="F464" t="s">
        <v>14</v>
      </c>
      <c r="G464">
        <v>2</v>
      </c>
      <c r="H464">
        <v>800</v>
      </c>
      <c r="I464">
        <v>1600</v>
      </c>
      <c r="J464" t="s">
        <v>31</v>
      </c>
      <c r="K464">
        <v>4</v>
      </c>
    </row>
    <row r="465" spans="1:11" x14ac:dyDescent="0.3">
      <c r="A465">
        <v>1464</v>
      </c>
      <c r="B465" s="2">
        <v>46190.01402805611</v>
      </c>
      <c r="C465" t="s">
        <v>46</v>
      </c>
      <c r="D465" t="s">
        <v>44</v>
      </c>
      <c r="E465" t="s">
        <v>43</v>
      </c>
      <c r="F465" t="s">
        <v>14</v>
      </c>
      <c r="G465">
        <v>1</v>
      </c>
      <c r="H465">
        <v>300</v>
      </c>
      <c r="I465">
        <v>300</v>
      </c>
      <c r="J465" t="s">
        <v>15</v>
      </c>
      <c r="K465">
        <v>5</v>
      </c>
    </row>
    <row r="466" spans="1:11" x14ac:dyDescent="0.3">
      <c r="A466">
        <v>1465</v>
      </c>
      <c r="B466" s="2">
        <v>46190.374749498988</v>
      </c>
      <c r="C466" t="s">
        <v>49</v>
      </c>
      <c r="D466" t="s">
        <v>26</v>
      </c>
      <c r="E466" t="s">
        <v>13</v>
      </c>
      <c r="F466" t="s">
        <v>14</v>
      </c>
      <c r="G466">
        <v>2</v>
      </c>
      <c r="H466">
        <v>1500</v>
      </c>
      <c r="I466">
        <v>3000</v>
      </c>
      <c r="J466" t="s">
        <v>15</v>
      </c>
      <c r="K466">
        <v>4</v>
      </c>
    </row>
    <row r="467" spans="1:11" x14ac:dyDescent="0.3">
      <c r="A467">
        <v>1466</v>
      </c>
      <c r="B467" s="2">
        <v>46190.735470941872</v>
      </c>
      <c r="C467" t="s">
        <v>11</v>
      </c>
      <c r="D467" t="s">
        <v>17</v>
      </c>
      <c r="E467" t="s">
        <v>39</v>
      </c>
      <c r="F467" t="s">
        <v>19</v>
      </c>
      <c r="G467">
        <v>1</v>
      </c>
      <c r="H467">
        <v>25000</v>
      </c>
      <c r="I467">
        <v>25000</v>
      </c>
      <c r="J467" t="s">
        <v>20</v>
      </c>
      <c r="K467">
        <v>5</v>
      </c>
    </row>
    <row r="468" spans="1:11" x14ac:dyDescent="0.3">
      <c r="A468">
        <v>1467</v>
      </c>
      <c r="B468" s="2">
        <v>46191.096192384772</v>
      </c>
      <c r="C468" t="s">
        <v>30</v>
      </c>
      <c r="D468" t="s">
        <v>44</v>
      </c>
      <c r="E468" t="s">
        <v>39</v>
      </c>
      <c r="F468" t="s">
        <v>19</v>
      </c>
      <c r="G468">
        <v>1</v>
      </c>
      <c r="H468">
        <v>25000</v>
      </c>
      <c r="I468">
        <v>25000</v>
      </c>
      <c r="J468" t="s">
        <v>15</v>
      </c>
      <c r="K468">
        <v>5</v>
      </c>
    </row>
    <row r="469" spans="1:11" x14ac:dyDescent="0.3">
      <c r="A469">
        <v>1468</v>
      </c>
      <c r="B469" s="2">
        <v>46191.456913827649</v>
      </c>
      <c r="C469" t="s">
        <v>42</v>
      </c>
      <c r="D469" t="s">
        <v>22</v>
      </c>
      <c r="E469" t="s">
        <v>23</v>
      </c>
      <c r="F469" t="s">
        <v>24</v>
      </c>
      <c r="G469">
        <v>1</v>
      </c>
      <c r="H469">
        <v>14000</v>
      </c>
      <c r="I469">
        <v>14000</v>
      </c>
      <c r="J469" t="s">
        <v>15</v>
      </c>
      <c r="K469">
        <v>4</v>
      </c>
    </row>
    <row r="470" spans="1:11" x14ac:dyDescent="0.3">
      <c r="A470">
        <v>1469</v>
      </c>
      <c r="B470" s="2">
        <v>46191.817635270527</v>
      </c>
      <c r="C470" t="s">
        <v>30</v>
      </c>
      <c r="D470" t="s">
        <v>22</v>
      </c>
      <c r="E470" t="s">
        <v>23</v>
      </c>
      <c r="F470" t="s">
        <v>24</v>
      </c>
      <c r="G470">
        <v>2</v>
      </c>
      <c r="H470">
        <v>14000</v>
      </c>
      <c r="I470">
        <v>28000</v>
      </c>
      <c r="J470" t="s">
        <v>15</v>
      </c>
      <c r="K470">
        <v>4</v>
      </c>
    </row>
    <row r="471" spans="1:11" x14ac:dyDescent="0.3">
      <c r="A471">
        <v>1470</v>
      </c>
      <c r="B471" s="2">
        <v>46192.178356713433</v>
      </c>
      <c r="C471" t="s">
        <v>41</v>
      </c>
      <c r="D471" t="s">
        <v>12</v>
      </c>
      <c r="E471" t="s">
        <v>27</v>
      </c>
      <c r="F471" t="s">
        <v>19</v>
      </c>
      <c r="G471">
        <v>2</v>
      </c>
      <c r="H471">
        <v>55000</v>
      </c>
      <c r="I471">
        <v>110000</v>
      </c>
      <c r="J471" t="s">
        <v>15</v>
      </c>
      <c r="K471">
        <v>5</v>
      </c>
    </row>
    <row r="472" spans="1:11" x14ac:dyDescent="0.3">
      <c r="A472">
        <v>1471</v>
      </c>
      <c r="B472" s="2">
        <v>46192.539078156311</v>
      </c>
      <c r="C472" t="s">
        <v>25</v>
      </c>
      <c r="D472" t="s">
        <v>26</v>
      </c>
      <c r="E472" t="s">
        <v>23</v>
      </c>
      <c r="F472" t="s">
        <v>24</v>
      </c>
      <c r="G472">
        <v>2</v>
      </c>
      <c r="H472">
        <v>13500</v>
      </c>
      <c r="I472">
        <v>27000</v>
      </c>
      <c r="J472" t="s">
        <v>15</v>
      </c>
      <c r="K472">
        <v>4</v>
      </c>
    </row>
    <row r="473" spans="1:11" x14ac:dyDescent="0.3">
      <c r="A473">
        <v>1472</v>
      </c>
      <c r="B473" s="2">
        <v>46192.899799599189</v>
      </c>
      <c r="C473" t="s">
        <v>16</v>
      </c>
      <c r="D473" t="s">
        <v>26</v>
      </c>
      <c r="E473" t="s">
        <v>39</v>
      </c>
      <c r="F473" t="s">
        <v>19</v>
      </c>
      <c r="G473">
        <v>1</v>
      </c>
      <c r="H473">
        <v>24500</v>
      </c>
      <c r="I473">
        <v>24500</v>
      </c>
      <c r="J473" t="s">
        <v>31</v>
      </c>
      <c r="K473">
        <v>5</v>
      </c>
    </row>
    <row r="474" spans="1:11" x14ac:dyDescent="0.3">
      <c r="A474">
        <v>1473</v>
      </c>
      <c r="B474" s="2">
        <v>46193.260521042081</v>
      </c>
      <c r="C474" t="s">
        <v>50</v>
      </c>
      <c r="D474" t="s">
        <v>26</v>
      </c>
      <c r="E474" t="s">
        <v>13</v>
      </c>
      <c r="F474" t="s">
        <v>14</v>
      </c>
      <c r="G474">
        <v>2</v>
      </c>
      <c r="H474">
        <v>1500</v>
      </c>
      <c r="I474">
        <v>3000</v>
      </c>
      <c r="J474" t="s">
        <v>15</v>
      </c>
      <c r="K474">
        <v>4</v>
      </c>
    </row>
    <row r="475" spans="1:11" x14ac:dyDescent="0.3">
      <c r="A475">
        <v>1474</v>
      </c>
      <c r="B475" s="2">
        <v>46193.621242484973</v>
      </c>
      <c r="C475" t="s">
        <v>42</v>
      </c>
      <c r="D475" t="s">
        <v>44</v>
      </c>
      <c r="E475" t="s">
        <v>29</v>
      </c>
      <c r="F475" t="s">
        <v>19</v>
      </c>
      <c r="G475">
        <v>3</v>
      </c>
      <c r="H475">
        <v>12500</v>
      </c>
      <c r="I475">
        <v>37500</v>
      </c>
      <c r="J475" t="s">
        <v>20</v>
      </c>
      <c r="K475">
        <v>5</v>
      </c>
    </row>
    <row r="476" spans="1:11" x14ac:dyDescent="0.3">
      <c r="A476">
        <v>1475</v>
      </c>
      <c r="B476" s="2">
        <v>46193.98196392785</v>
      </c>
      <c r="C476" t="s">
        <v>16</v>
      </c>
      <c r="D476" t="s">
        <v>26</v>
      </c>
      <c r="E476" t="s">
        <v>18</v>
      </c>
      <c r="F476" t="s">
        <v>19</v>
      </c>
      <c r="G476">
        <v>1</v>
      </c>
      <c r="H476">
        <v>22000</v>
      </c>
      <c r="I476">
        <v>22000</v>
      </c>
      <c r="J476" t="s">
        <v>31</v>
      </c>
      <c r="K476">
        <v>4</v>
      </c>
    </row>
    <row r="477" spans="1:11" x14ac:dyDescent="0.3">
      <c r="A477">
        <v>1476</v>
      </c>
      <c r="B477" s="2">
        <v>46194.342685370742</v>
      </c>
      <c r="C477" t="s">
        <v>32</v>
      </c>
      <c r="D477" t="s">
        <v>38</v>
      </c>
      <c r="E477" t="s">
        <v>27</v>
      </c>
      <c r="F477" t="s">
        <v>19</v>
      </c>
      <c r="G477">
        <v>2</v>
      </c>
      <c r="H477">
        <v>55000</v>
      </c>
      <c r="I477">
        <v>110000</v>
      </c>
      <c r="J477" t="s">
        <v>20</v>
      </c>
      <c r="K477">
        <v>4</v>
      </c>
    </row>
    <row r="478" spans="1:11" x14ac:dyDescent="0.3">
      <c r="A478">
        <v>1477</v>
      </c>
      <c r="B478" s="2">
        <v>46194.70340681362</v>
      </c>
      <c r="C478" t="s">
        <v>50</v>
      </c>
      <c r="D478" t="s">
        <v>26</v>
      </c>
      <c r="E478" t="s">
        <v>18</v>
      </c>
      <c r="F478" t="s">
        <v>19</v>
      </c>
      <c r="G478">
        <v>1</v>
      </c>
      <c r="H478">
        <v>22000</v>
      </c>
      <c r="I478">
        <v>22000</v>
      </c>
      <c r="J478" t="s">
        <v>15</v>
      </c>
      <c r="K478">
        <v>2</v>
      </c>
    </row>
    <row r="479" spans="1:11" x14ac:dyDescent="0.3">
      <c r="A479">
        <v>1478</v>
      </c>
      <c r="B479" s="2">
        <v>46195.064128256497</v>
      </c>
      <c r="C479" t="s">
        <v>25</v>
      </c>
      <c r="D479" t="s">
        <v>17</v>
      </c>
      <c r="E479" t="s">
        <v>33</v>
      </c>
      <c r="F479" t="s">
        <v>14</v>
      </c>
      <c r="G479">
        <v>1</v>
      </c>
      <c r="H479">
        <v>2500</v>
      </c>
      <c r="I479">
        <v>2500</v>
      </c>
      <c r="J479" t="s">
        <v>31</v>
      </c>
      <c r="K479">
        <v>5</v>
      </c>
    </row>
    <row r="480" spans="1:11" x14ac:dyDescent="0.3">
      <c r="A480">
        <v>1479</v>
      </c>
      <c r="B480" s="2">
        <v>46195.424849699397</v>
      </c>
      <c r="C480" t="s">
        <v>28</v>
      </c>
      <c r="D480" t="s">
        <v>12</v>
      </c>
      <c r="E480" t="s">
        <v>27</v>
      </c>
      <c r="F480" t="s">
        <v>19</v>
      </c>
      <c r="G480">
        <v>2</v>
      </c>
      <c r="H480">
        <v>55000</v>
      </c>
      <c r="I480">
        <v>110000</v>
      </c>
      <c r="J480" t="s">
        <v>31</v>
      </c>
      <c r="K480">
        <v>4</v>
      </c>
    </row>
    <row r="481" spans="1:11" x14ac:dyDescent="0.3">
      <c r="A481">
        <v>1480</v>
      </c>
      <c r="B481" s="2">
        <v>46195.785571142282</v>
      </c>
      <c r="C481" t="s">
        <v>30</v>
      </c>
      <c r="D481" t="s">
        <v>22</v>
      </c>
      <c r="E481" t="s">
        <v>29</v>
      </c>
      <c r="F481" t="s">
        <v>19</v>
      </c>
      <c r="G481">
        <v>3</v>
      </c>
      <c r="H481">
        <v>11500</v>
      </c>
      <c r="I481">
        <v>34500</v>
      </c>
      <c r="J481" t="s">
        <v>15</v>
      </c>
      <c r="K481">
        <v>4</v>
      </c>
    </row>
    <row r="482" spans="1:11" x14ac:dyDescent="0.3">
      <c r="A482">
        <v>1481</v>
      </c>
      <c r="B482" s="2">
        <v>46196.146292585159</v>
      </c>
      <c r="C482" t="s">
        <v>41</v>
      </c>
      <c r="D482" t="s">
        <v>26</v>
      </c>
      <c r="E482" t="s">
        <v>43</v>
      </c>
      <c r="F482" t="s">
        <v>14</v>
      </c>
      <c r="G482">
        <v>1</v>
      </c>
      <c r="H482">
        <v>800</v>
      </c>
      <c r="I482">
        <v>800</v>
      </c>
      <c r="J482" t="s">
        <v>31</v>
      </c>
      <c r="K482">
        <v>5</v>
      </c>
    </row>
    <row r="483" spans="1:11" x14ac:dyDescent="0.3">
      <c r="A483">
        <v>1482</v>
      </c>
      <c r="B483" s="2">
        <v>46196.507014028059</v>
      </c>
      <c r="C483" t="s">
        <v>51</v>
      </c>
      <c r="D483" t="s">
        <v>38</v>
      </c>
      <c r="E483" t="s">
        <v>27</v>
      </c>
      <c r="F483" t="s">
        <v>19</v>
      </c>
      <c r="G483">
        <v>4</v>
      </c>
      <c r="H483">
        <v>55000</v>
      </c>
      <c r="I483">
        <v>220000</v>
      </c>
      <c r="J483" t="s">
        <v>31</v>
      </c>
      <c r="K483">
        <v>4</v>
      </c>
    </row>
    <row r="484" spans="1:11" x14ac:dyDescent="0.3">
      <c r="A484">
        <v>1483</v>
      </c>
      <c r="B484" s="2">
        <v>46196.867735470943</v>
      </c>
      <c r="C484" t="s">
        <v>35</v>
      </c>
      <c r="D484" t="s">
        <v>38</v>
      </c>
      <c r="E484" t="s">
        <v>39</v>
      </c>
      <c r="F484" t="s">
        <v>19</v>
      </c>
      <c r="G484">
        <v>1</v>
      </c>
      <c r="H484">
        <v>25000</v>
      </c>
      <c r="I484">
        <v>25000</v>
      </c>
      <c r="J484" t="s">
        <v>45</v>
      </c>
      <c r="K484">
        <v>4</v>
      </c>
    </row>
    <row r="485" spans="1:11" x14ac:dyDescent="0.3">
      <c r="A485">
        <v>1484</v>
      </c>
      <c r="B485" s="2">
        <v>46197.228456913821</v>
      </c>
      <c r="C485" t="s">
        <v>49</v>
      </c>
      <c r="D485" t="s">
        <v>26</v>
      </c>
      <c r="E485" t="s">
        <v>43</v>
      </c>
      <c r="F485" t="s">
        <v>14</v>
      </c>
      <c r="G485">
        <v>3</v>
      </c>
      <c r="H485">
        <v>800</v>
      </c>
      <c r="I485">
        <v>2400</v>
      </c>
      <c r="J485" t="s">
        <v>45</v>
      </c>
      <c r="K485">
        <v>3</v>
      </c>
    </row>
    <row r="486" spans="1:11" x14ac:dyDescent="0.3">
      <c r="A486">
        <v>1485</v>
      </c>
      <c r="B486" s="2">
        <v>46197.589178356713</v>
      </c>
      <c r="C486" t="s">
        <v>51</v>
      </c>
      <c r="D486" t="s">
        <v>12</v>
      </c>
      <c r="E486" t="s">
        <v>39</v>
      </c>
      <c r="F486" t="s">
        <v>19</v>
      </c>
      <c r="G486">
        <v>1</v>
      </c>
      <c r="H486">
        <v>25000</v>
      </c>
      <c r="I486">
        <v>25000</v>
      </c>
      <c r="J486" t="s">
        <v>31</v>
      </c>
      <c r="K486">
        <v>4</v>
      </c>
    </row>
    <row r="487" spans="1:11" x14ac:dyDescent="0.3">
      <c r="A487">
        <v>1486</v>
      </c>
      <c r="B487" s="2">
        <v>46197.949899799598</v>
      </c>
      <c r="C487" t="s">
        <v>46</v>
      </c>
      <c r="D487" t="s">
        <v>12</v>
      </c>
      <c r="E487" t="s">
        <v>27</v>
      </c>
      <c r="F487" t="s">
        <v>19</v>
      </c>
      <c r="G487">
        <v>3</v>
      </c>
      <c r="H487">
        <v>55000</v>
      </c>
      <c r="I487">
        <v>165000</v>
      </c>
      <c r="J487" t="s">
        <v>15</v>
      </c>
      <c r="K487">
        <v>4</v>
      </c>
    </row>
    <row r="488" spans="1:11" x14ac:dyDescent="0.3">
      <c r="A488">
        <v>1487</v>
      </c>
      <c r="B488" s="2">
        <v>46198.310621242483</v>
      </c>
      <c r="C488" t="s">
        <v>32</v>
      </c>
      <c r="D488" t="s">
        <v>17</v>
      </c>
      <c r="E488" t="s">
        <v>33</v>
      </c>
      <c r="F488" t="s">
        <v>14</v>
      </c>
      <c r="G488">
        <v>1</v>
      </c>
      <c r="H488">
        <v>2500</v>
      </c>
      <c r="I488">
        <v>2500</v>
      </c>
      <c r="J488" t="s">
        <v>15</v>
      </c>
      <c r="K488">
        <v>5</v>
      </c>
    </row>
    <row r="489" spans="1:11" x14ac:dyDescent="0.3">
      <c r="A489">
        <v>1488</v>
      </c>
      <c r="B489" s="2">
        <v>46198.671342685368</v>
      </c>
      <c r="C489" t="s">
        <v>51</v>
      </c>
      <c r="D489" t="s">
        <v>44</v>
      </c>
      <c r="E489" t="s">
        <v>13</v>
      </c>
      <c r="F489" t="s">
        <v>14</v>
      </c>
      <c r="G489">
        <v>2</v>
      </c>
      <c r="H489">
        <v>1500</v>
      </c>
      <c r="I489">
        <v>3000</v>
      </c>
      <c r="J489" t="s">
        <v>15</v>
      </c>
      <c r="K489">
        <v>3</v>
      </c>
    </row>
    <row r="490" spans="1:11" x14ac:dyDescent="0.3">
      <c r="A490">
        <v>1489</v>
      </c>
      <c r="B490" s="2">
        <v>46199.032064128252</v>
      </c>
      <c r="C490" t="s">
        <v>36</v>
      </c>
      <c r="D490" t="s">
        <v>17</v>
      </c>
      <c r="E490" t="s">
        <v>43</v>
      </c>
      <c r="F490" t="s">
        <v>14</v>
      </c>
      <c r="G490">
        <v>2</v>
      </c>
      <c r="H490">
        <v>800</v>
      </c>
      <c r="I490">
        <v>1600</v>
      </c>
      <c r="J490" t="s">
        <v>31</v>
      </c>
      <c r="K490">
        <v>5</v>
      </c>
    </row>
    <row r="491" spans="1:11" x14ac:dyDescent="0.3">
      <c r="A491">
        <v>1490</v>
      </c>
      <c r="B491" s="2">
        <v>46199.392785571137</v>
      </c>
      <c r="C491" t="s">
        <v>42</v>
      </c>
      <c r="D491" t="s">
        <v>22</v>
      </c>
      <c r="E491" t="s">
        <v>27</v>
      </c>
      <c r="F491" t="s">
        <v>19</v>
      </c>
      <c r="G491">
        <v>4</v>
      </c>
      <c r="H491">
        <v>55000</v>
      </c>
      <c r="I491">
        <v>220000</v>
      </c>
      <c r="J491" t="s">
        <v>15</v>
      </c>
      <c r="K491">
        <v>4</v>
      </c>
    </row>
    <row r="492" spans="1:11" x14ac:dyDescent="0.3">
      <c r="A492">
        <v>1491</v>
      </c>
      <c r="B492" s="2">
        <v>46199.753507014029</v>
      </c>
      <c r="C492" t="s">
        <v>40</v>
      </c>
      <c r="D492" t="s">
        <v>17</v>
      </c>
      <c r="E492" t="s">
        <v>18</v>
      </c>
      <c r="F492" t="s">
        <v>19</v>
      </c>
      <c r="G492">
        <v>3</v>
      </c>
      <c r="H492">
        <v>22000</v>
      </c>
      <c r="I492">
        <v>66000</v>
      </c>
      <c r="J492" t="s">
        <v>31</v>
      </c>
      <c r="K492">
        <v>4</v>
      </c>
    </row>
    <row r="493" spans="1:11" x14ac:dyDescent="0.3">
      <c r="A493">
        <v>1492</v>
      </c>
      <c r="B493" s="2">
        <v>46200.114228456907</v>
      </c>
      <c r="C493" t="s">
        <v>28</v>
      </c>
      <c r="D493" t="s">
        <v>26</v>
      </c>
      <c r="E493" t="s">
        <v>43</v>
      </c>
      <c r="F493" t="s">
        <v>14</v>
      </c>
      <c r="G493">
        <v>1</v>
      </c>
      <c r="H493">
        <v>800</v>
      </c>
      <c r="I493">
        <v>800</v>
      </c>
      <c r="J493" t="s">
        <v>31</v>
      </c>
      <c r="K493">
        <v>4</v>
      </c>
    </row>
    <row r="494" spans="1:11" x14ac:dyDescent="0.3">
      <c r="A494">
        <v>1493</v>
      </c>
      <c r="B494" s="2">
        <v>46200.474949899792</v>
      </c>
      <c r="C494" t="s">
        <v>48</v>
      </c>
      <c r="D494" t="s">
        <v>17</v>
      </c>
      <c r="E494" t="s">
        <v>43</v>
      </c>
      <c r="F494" t="s">
        <v>14</v>
      </c>
      <c r="G494">
        <v>3</v>
      </c>
      <c r="H494">
        <v>800</v>
      </c>
      <c r="I494">
        <v>2400</v>
      </c>
      <c r="J494" t="s">
        <v>45</v>
      </c>
      <c r="K494">
        <v>5</v>
      </c>
    </row>
    <row r="495" spans="1:11" x14ac:dyDescent="0.3">
      <c r="A495">
        <v>1494</v>
      </c>
      <c r="B495" s="2">
        <v>46200.835671342677</v>
      </c>
      <c r="C495" t="s">
        <v>40</v>
      </c>
      <c r="D495" t="s">
        <v>44</v>
      </c>
      <c r="E495" t="s">
        <v>33</v>
      </c>
      <c r="F495" t="s">
        <v>14</v>
      </c>
      <c r="G495">
        <v>2</v>
      </c>
      <c r="H495">
        <v>2500</v>
      </c>
      <c r="I495">
        <v>5000</v>
      </c>
      <c r="J495" t="s">
        <v>31</v>
      </c>
      <c r="K495">
        <v>4</v>
      </c>
    </row>
    <row r="496" spans="1:11" x14ac:dyDescent="0.3">
      <c r="A496">
        <v>1495</v>
      </c>
      <c r="B496" s="2">
        <v>46201.196392785569</v>
      </c>
      <c r="C496" t="s">
        <v>16</v>
      </c>
      <c r="D496" t="s">
        <v>44</v>
      </c>
      <c r="E496" t="s">
        <v>33</v>
      </c>
      <c r="F496" t="s">
        <v>14</v>
      </c>
      <c r="G496">
        <v>1</v>
      </c>
      <c r="H496">
        <v>2500</v>
      </c>
      <c r="I496">
        <v>2500</v>
      </c>
      <c r="J496" t="s">
        <v>31</v>
      </c>
      <c r="K496">
        <v>4</v>
      </c>
    </row>
    <row r="497" spans="1:11" x14ac:dyDescent="0.3">
      <c r="A497">
        <v>1496</v>
      </c>
      <c r="B497" s="2">
        <v>46201.557114228453</v>
      </c>
      <c r="C497" t="s">
        <v>46</v>
      </c>
      <c r="D497" t="s">
        <v>12</v>
      </c>
      <c r="E497" t="s">
        <v>43</v>
      </c>
      <c r="F497" t="s">
        <v>14</v>
      </c>
      <c r="G497">
        <v>1</v>
      </c>
      <c r="H497">
        <v>300</v>
      </c>
      <c r="I497">
        <v>300</v>
      </c>
      <c r="J497" t="s">
        <v>20</v>
      </c>
      <c r="K497">
        <v>3</v>
      </c>
    </row>
    <row r="498" spans="1:11" x14ac:dyDescent="0.3">
      <c r="A498">
        <v>1497</v>
      </c>
      <c r="B498" s="2">
        <v>46201.917835671353</v>
      </c>
      <c r="C498" t="s">
        <v>42</v>
      </c>
      <c r="D498" t="s">
        <v>17</v>
      </c>
      <c r="E498" t="s">
        <v>29</v>
      </c>
      <c r="F498" t="s">
        <v>19</v>
      </c>
      <c r="G498">
        <v>2</v>
      </c>
      <c r="H498">
        <v>12000</v>
      </c>
      <c r="I498">
        <v>24000</v>
      </c>
      <c r="J498" t="s">
        <v>15</v>
      </c>
      <c r="K498">
        <v>4</v>
      </c>
    </row>
    <row r="499" spans="1:11" x14ac:dyDescent="0.3">
      <c r="A499">
        <v>1498</v>
      </c>
      <c r="B499" s="2">
        <v>46202.278557114223</v>
      </c>
      <c r="C499" t="s">
        <v>37</v>
      </c>
      <c r="D499" t="s">
        <v>38</v>
      </c>
      <c r="E499" t="s">
        <v>43</v>
      </c>
      <c r="F499" t="s">
        <v>14</v>
      </c>
      <c r="G499">
        <v>1</v>
      </c>
      <c r="H499">
        <v>800</v>
      </c>
      <c r="I499">
        <v>800</v>
      </c>
      <c r="J499" t="s">
        <v>31</v>
      </c>
      <c r="K499">
        <v>4</v>
      </c>
    </row>
    <row r="500" spans="1:11" x14ac:dyDescent="0.3">
      <c r="A500">
        <v>1499</v>
      </c>
      <c r="B500" s="2">
        <v>46202.639278557108</v>
      </c>
      <c r="C500" t="s">
        <v>25</v>
      </c>
      <c r="D500" t="s">
        <v>12</v>
      </c>
      <c r="E500" t="s">
        <v>33</v>
      </c>
      <c r="F500" t="s">
        <v>14</v>
      </c>
      <c r="G500">
        <v>2</v>
      </c>
      <c r="H500">
        <v>2500</v>
      </c>
      <c r="I500">
        <v>5000</v>
      </c>
      <c r="J500" t="s">
        <v>15</v>
      </c>
      <c r="K500">
        <v>4</v>
      </c>
    </row>
    <row r="501" spans="1:11" x14ac:dyDescent="0.3">
      <c r="A501">
        <v>1500</v>
      </c>
      <c r="B501" s="2">
        <v>46203</v>
      </c>
      <c r="C501" t="s">
        <v>50</v>
      </c>
      <c r="D501" t="s">
        <v>44</v>
      </c>
      <c r="E501" t="s">
        <v>13</v>
      </c>
      <c r="F501" t="s">
        <v>14</v>
      </c>
      <c r="G501">
        <v>3</v>
      </c>
      <c r="H501">
        <v>1500</v>
      </c>
      <c r="I501">
        <v>4500</v>
      </c>
      <c r="J501" t="s">
        <v>31</v>
      </c>
      <c r="K501">
        <v>4</v>
      </c>
    </row>
  </sheetData>
  <dataConsolidate/>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pt_city</vt:lpstr>
      <vt:lpstr>Sheet1</vt:lpstr>
      <vt:lpstr>pt_product</vt:lpstr>
      <vt:lpstr>pt_pay_method</vt:lpstr>
      <vt:lpstr>pt_avg</vt:lpstr>
      <vt:lpstr>clean_data</vt:lpstr>
      <vt:lpstr>analysis</vt:lpstr>
      <vt:lpstr>dashboard</vt:lpstr>
      <vt:lpstr>Project_Info</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lohith manda</cp:lastModifiedBy>
  <dcterms:created xsi:type="dcterms:W3CDTF">2026-08-20T04:52:39Z</dcterms:created>
  <dcterms:modified xsi:type="dcterms:W3CDTF">2026-09-15T05:58:33Z</dcterms:modified>
</cp:coreProperties>
</file>